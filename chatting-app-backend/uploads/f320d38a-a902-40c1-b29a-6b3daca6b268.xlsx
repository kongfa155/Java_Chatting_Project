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Lenovo\Desktop\cai vi lien quan toi lab\"/>
    </mc:Choice>
  </mc:AlternateContent>
  <xr:revisionPtr revIDLastSave="0" documentId="8_{45D0898A-0F19-4791-AC6A-352807C51E36}" xr6:coauthVersionLast="47" xr6:coauthVersionMax="47" xr10:uidLastSave="{00000000-0000-0000-0000-000000000000}"/>
  <bookViews>
    <workbookView xWindow="-110" yWindow="-110" windowWidth="25820" windowHeight="13900" activeTab="8" xr2:uid="{B78207FB-B459-4CAB-80DD-BC3A8F0245A5}"/>
  </bookViews>
  <sheets>
    <sheet name="info" sheetId="1" r:id="rId1"/>
    <sheet name="step 2" sheetId="2" r:id="rId2"/>
    <sheet name="step 3" sheetId="3" r:id="rId3"/>
    <sheet name="step 4" sheetId="4" r:id="rId4"/>
    <sheet name="step 5" sheetId="5" r:id="rId5"/>
    <sheet name="step 6" sheetId="6" r:id="rId6"/>
    <sheet name="step 7" sheetId="7" r:id="rId7"/>
    <sheet name="step 8" sheetId="8" r:id="rId8"/>
    <sheet name="step 9" sheetId="9" r:id="rId9"/>
    <sheet name="step 10" sheetId="10" r:id="rId10"/>
    <sheet name="step 11" sheetId="11" r:id="rId11"/>
  </sheets>
  <definedNames>
    <definedName name="_Toc269827541" localSheetId="1">'step 2'!$A$1</definedName>
    <definedName name="_Toc269827543" localSheetId="2">'step 3'!$A$1</definedName>
    <definedName name="_Toc269827545" localSheetId="3">'step 4'!$A$1</definedName>
    <definedName name="_Toc269827547" localSheetId="4">'step 5'!$A$1</definedName>
    <definedName name="_Toc269827549" localSheetId="5">'step 6'!$A$1</definedName>
    <definedName name="_Toc269827551" localSheetId="6">'step 7'!$A$1</definedName>
    <definedName name="_Toc269827553" localSheetId="7">'step 8'!$A$1</definedName>
    <definedName name="_Toc269827555" localSheetId="9">'step 10'!$A$1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11" l="1"/>
  <c r="D7" i="11"/>
  <c r="D6" i="11"/>
  <c r="D15" i="10"/>
  <c r="J13" i="9"/>
  <c r="H6" i="9"/>
  <c r="I6" i="9" s="1"/>
  <c r="J6" i="9" s="1"/>
  <c r="H7" i="9"/>
  <c r="I7" i="9" s="1"/>
  <c r="J7" i="9" s="1"/>
  <c r="H8" i="9"/>
  <c r="I8" i="9" s="1"/>
  <c r="J8" i="9" s="1"/>
  <c r="G6" i="9"/>
  <c r="G7" i="9"/>
  <c r="G8" i="9"/>
  <c r="G9" i="9"/>
  <c r="G10" i="9"/>
  <c r="G11" i="9"/>
  <c r="G12" i="9"/>
  <c r="G13" i="9"/>
  <c r="G5" i="9"/>
  <c r="F6" i="9"/>
  <c r="F7" i="9"/>
  <c r="F8" i="9"/>
  <c r="F9" i="9"/>
  <c r="F10" i="9"/>
  <c r="F11" i="9"/>
  <c r="F12" i="9"/>
  <c r="F13" i="9"/>
  <c r="F5" i="9"/>
  <c r="E6" i="9"/>
  <c r="E7" i="9"/>
  <c r="E8" i="9"/>
  <c r="E9" i="9"/>
  <c r="H9" i="9" s="1"/>
  <c r="I9" i="9" s="1"/>
  <c r="J9" i="9" s="1"/>
  <c r="E10" i="9"/>
  <c r="H10" i="9" s="1"/>
  <c r="I10" i="9" s="1"/>
  <c r="J10" i="9" s="1"/>
  <c r="E11" i="9"/>
  <c r="H11" i="9" s="1"/>
  <c r="I11" i="9" s="1"/>
  <c r="J11" i="9" s="1"/>
  <c r="J14" i="9" s="1"/>
  <c r="E12" i="9"/>
  <c r="H12" i="9" s="1"/>
  <c r="I12" i="9" s="1"/>
  <c r="J12" i="9" s="1"/>
  <c r="E13" i="9"/>
  <c r="H13" i="9" s="1"/>
  <c r="I13" i="9" s="1"/>
  <c r="E5" i="9"/>
  <c r="H5" i="9" s="1"/>
  <c r="I5" i="9" s="1"/>
  <c r="J5" i="9" s="1"/>
  <c r="E7" i="8"/>
  <c r="E9" i="8"/>
  <c r="E7" i="6"/>
  <c r="E8" i="6"/>
  <c r="E9" i="6"/>
  <c r="E10" i="6"/>
  <c r="E13" i="6"/>
  <c r="E14" i="6"/>
  <c r="E15" i="6"/>
  <c r="E16" i="6"/>
  <c r="E17" i="6"/>
  <c r="E18" i="6"/>
  <c r="E6" i="6"/>
  <c r="D17" i="5"/>
  <c r="D16" i="5"/>
  <c r="D14" i="5"/>
  <c r="D12" i="5"/>
  <c r="D11" i="5"/>
  <c r="D10" i="5"/>
</calcChain>
</file>

<file path=xl/sharedStrings.xml><?xml version="1.0" encoding="utf-8"?>
<sst xmlns="http://schemas.openxmlformats.org/spreadsheetml/2006/main" count="325" uniqueCount="237">
  <si>
    <t>Code</t>
  </si>
  <si>
    <t>Full name</t>
  </si>
  <si>
    <t>BẢNG SẮP XẾP THỨ TỰ ƯU TIÊN CÁC YÊU CẦU</t>
  </si>
  <si>
    <t>CHỨC NĂNG CỦA PHẦN MỀM</t>
  </si>
  <si>
    <t>TT</t>
  </si>
  <si>
    <t>Mô tả yêu cầu</t>
  </si>
  <si>
    <t>Phân loại</t>
  </si>
  <si>
    <t>Ghi chú</t>
  </si>
  <si>
    <t>...</t>
  </si>
  <si>
    <t>BẢNG CHUYỂN ĐỔI YÊU CẦU CHỨC NĂNG SANG</t>
  </si>
  <si>
    <t>TRƯỜNG HỢP SỬ DỤNG (USE-CASE)</t>
  </si>
  <si>
    <t>Tên Use-case</t>
  </si>
  <si>
    <t>Tên tác nhân chính</t>
  </si>
  <si>
    <t>Tên tác nhân phụ</t>
  </si>
  <si>
    <t>Mô tả  trường hợp sử dụng</t>
  </si>
  <si>
    <t>Mức độ cần thiết</t>
  </si>
  <si>
    <t>BẢNG TÍNH TOÁN ĐIỂM CÁC TÁC NHÂN (ACTORS) TƯƠNG TÁC, TRAO ĐỔI THÔNG TIN VỚI PHẦN MỀM</t>
  </si>
  <si>
    <t>Loại Actor</t>
  </si>
  <si>
    <t>Mô tả</t>
  </si>
  <si>
    <t>Số tác nhân</t>
  </si>
  <si>
    <t>Điểm của từng loại tác nhân</t>
  </si>
  <si>
    <t xml:space="preserve">Đơn giản </t>
  </si>
  <si>
    <t>Thuộc loại giao diện của chương trình</t>
  </si>
  <si>
    <t xml:space="preserve">Trung bình </t>
  </si>
  <si>
    <t>Giao diện tương tác hoặc phục vụ một giao thức hoạt động</t>
  </si>
  <si>
    <t xml:space="preserve">Phức tạp </t>
  </si>
  <si>
    <t>Giao diện đồ họa</t>
  </si>
  <si>
    <t>Cộng (1+2+3)</t>
  </si>
  <si>
    <t>TAW</t>
  </si>
  <si>
    <t>Trọng số</t>
  </si>
  <si>
    <t>BẢNG TÍNH TOÁN ĐIỂM CÁC TRƯỜNG HỢP SỬ DỤNG (USE-CASE)</t>
  </si>
  <si>
    <t>STT</t>
  </si>
  <si>
    <t>Loại</t>
  </si>
  <si>
    <t>Số trường hợp sử dụng</t>
  </si>
  <si>
    <t>Điểm của từng loại trường hợp sử dụng</t>
  </si>
  <si>
    <t>B</t>
  </si>
  <si>
    <t>Đơn giản</t>
  </si>
  <si>
    <t>Trung bình</t>
  </si>
  <si>
    <t>Phức tạp</t>
  </si>
  <si>
    <t>M</t>
  </si>
  <si>
    <t>T</t>
  </si>
  <si>
    <t>Cộng 1+2+3</t>
  </si>
  <si>
    <t>TBF</t>
  </si>
  <si>
    <t>Loại trường hợp sử dụng</t>
  </si>
  <si>
    <t>Hệ số BMT</t>
  </si>
  <si>
    <t>1,5</t>
  </si>
  <si>
    <t>BẢNG TÍNH TOÁN HỆ SỐ PHỨC TẠP KỸ THUẬT-CÔNG NGHỆ</t>
  </si>
  <si>
    <t>Các hệ số</t>
  </si>
  <si>
    <t>Trọng sô</t>
  </si>
  <si>
    <t>Giá trị xếp hạng</t>
  </si>
  <si>
    <t>Kết quả</t>
  </si>
  <si>
    <t>I</t>
  </si>
  <si>
    <t>Hệ số KT-CN (TFW)</t>
  </si>
  <si>
    <t xml:space="preserve">Hệ thống phân tán </t>
  </si>
  <si>
    <t xml:space="preserve">Tính chất đáp ứng tức thời hoặc yêu cầu đảm bảo thông lượng </t>
  </si>
  <si>
    <t xml:space="preserve">Hiệu quả sử dụng trực tuyến </t>
  </si>
  <si>
    <t xml:space="preserve">Độ phức tạp của xử lý bên trong </t>
  </si>
  <si>
    <t xml:space="preserve">Mã nguồn phải tái sử dụng được </t>
  </si>
  <si>
    <t xml:space="preserve">Dễ cài đặt </t>
  </si>
  <si>
    <t>0,5</t>
  </si>
  <si>
    <t xml:space="preserve">Dễ sử dụng </t>
  </si>
  <si>
    <t xml:space="preserve">Khả năng chuyển đổi </t>
  </si>
  <si>
    <t xml:space="preserve">Khả năng dễ thay đổi </t>
  </si>
  <si>
    <t xml:space="preserve">Sử dụng đồng thời </t>
  </si>
  <si>
    <t>Có các tính năng bảo mật đặc biệt</t>
  </si>
  <si>
    <t>Cung cấp truy nhập trực tiếp tới các phần mềm của các hãng thứ ba</t>
  </si>
  <si>
    <t>Yêu cầu phương tiện đào tạo đặc biệt cho người sử dụng</t>
  </si>
  <si>
    <t>II</t>
  </si>
  <si>
    <t>Hệ số phức tạp về KT-CN (TCF)</t>
  </si>
  <si>
    <t>BẢNG TÍNH TOÁN HỆ SỐ TÁC ĐỘNG MÔI TRƯỜNG VÀ NHÓM LÀM VIỆC, HỆ SỐ PHỨC TẠP VỀ MÔI TRƯỜNG</t>
  </si>
  <si>
    <t>I. Dự kiến trình độ và kinh nghiệm cần có của nhân công lao động</t>
  </si>
  <si>
    <t>Kỹ năng</t>
  </si>
  <si>
    <t>Điểm đánh giá</t>
  </si>
  <si>
    <t>Kỹ năng lập trình</t>
  </si>
  <si>
    <t>HTML</t>
  </si>
  <si>
    <t>PHP/MySQL</t>
  </si>
  <si>
    <t>Java</t>
  </si>
  <si>
    <t>Javascript</t>
  </si>
  <si>
    <t>VB</t>
  </si>
  <si>
    <t>VC++</t>
  </si>
  <si>
    <t>C/C++</t>
  </si>
  <si>
    <t>Microsoft.NET</t>
  </si>
  <si>
    <t>Kylix</t>
  </si>
  <si>
    <t>Perl</t>
  </si>
  <si>
    <t>C#</t>
  </si>
  <si>
    <t>Delphi</t>
  </si>
  <si>
    <t>Kiến thức về phần mềm</t>
  </si>
  <si>
    <t>Flash</t>
  </si>
  <si>
    <t>Illustrator</t>
  </si>
  <si>
    <t>Photoshop</t>
  </si>
  <si>
    <t>Firework</t>
  </si>
  <si>
    <t>SQL server</t>
  </si>
  <si>
    <t>Oracle</t>
  </si>
  <si>
    <t>IIS</t>
  </si>
  <si>
    <t>Frontpage</t>
  </si>
  <si>
    <t>MS Word</t>
  </si>
  <si>
    <t>MS Excel</t>
  </si>
  <si>
    <t>Open Office</t>
  </si>
  <si>
    <t>MS Access</t>
  </si>
  <si>
    <t>Visio</t>
  </si>
  <si>
    <t>MS Project</t>
  </si>
  <si>
    <t>Linux</t>
  </si>
  <si>
    <t>Unix</t>
  </si>
  <si>
    <t>Win NT</t>
  </si>
  <si>
    <t>Win 2000/XP</t>
  </si>
  <si>
    <t>LAN</t>
  </si>
  <si>
    <t>WAN</t>
  </si>
  <si>
    <t>Internet</t>
  </si>
  <si>
    <t>Intranet</t>
  </si>
  <si>
    <r>
      <t xml:space="preserve">Hiểu biết về qui trình và kinh nghiệm thực tế </t>
    </r>
    <r>
      <rPr>
        <sz val="13"/>
        <color rgb="FF000000"/>
        <rFont val="Times New Roman"/>
        <family val="1"/>
      </rPr>
      <t>(ghi rõ loại)</t>
    </r>
  </si>
  <si>
    <t>Có áp dụng qui trình phát triển phần mềm theo mẫu RUP và có hiểu biết về RUP hoặc quy trình phát triển phần mềm tương đương</t>
  </si>
  <si>
    <t xml:space="preserve">Có kinh nghiệm về ứng dụng tương tự </t>
  </si>
  <si>
    <t xml:space="preserve">Có kinh nghiệm về hướng đối tượng </t>
  </si>
  <si>
    <t>Có khả năng lãnh đạo Nhóm</t>
  </si>
  <si>
    <t>Có tính cách năng động</t>
  </si>
  <si>
    <r>
      <t xml:space="preserve">Loại khác </t>
    </r>
    <r>
      <rPr>
        <sz val="13"/>
        <color rgb="FF000000"/>
        <rFont val="Times New Roman"/>
        <family val="1"/>
      </rPr>
      <t>(ghi rõ loại)</t>
    </r>
  </si>
  <si>
    <t>Tính toán hệ số tác động môi trường và nhóm làm việc, hệ số phức tạp về môi trường, xác định độ ổn định kinh nghiệm và nội suy thời gian lao động (P)</t>
  </si>
  <si>
    <t>Các hệ số tác động môi trường</t>
  </si>
  <si>
    <t>Độ ổn định kinh nghiệm</t>
  </si>
  <si>
    <t>Hệ số tác động môi trường và nhóm làm việc (EFW)</t>
  </si>
  <si>
    <t>Đánh giá cho từng thành viên</t>
  </si>
  <si>
    <t>Tính chất năng động</t>
  </si>
  <si>
    <t>Đánh giá chung cho Dự án</t>
  </si>
  <si>
    <t>Độ ổn định của các yêu cầu</t>
  </si>
  <si>
    <t>Sử dụng các nhân viên làm bán thời gian</t>
  </si>
  <si>
    <t>Dùng ngôn ngữ lập trình loại khó</t>
  </si>
  <si>
    <t>Hệ số phức tạp về môi trường (EF)</t>
  </si>
  <si>
    <t>III</t>
  </si>
  <si>
    <t>Độ ổn định kinh nghiệm (ES)</t>
  </si>
  <si>
    <t>IV</t>
  </si>
  <si>
    <t>Nội suy thời gian lao động (P)</t>
  </si>
  <si>
    <t>XÁC ĐỊNH MỨC LƯƠNG LAO ĐỘNG BÌNH QUÂN ĐỐI VỚI VIỆC PHÁT TRIỂN HOẶC NÂNG CẤP PHẦN MỀM</t>
  </si>
  <si>
    <t>Lương theo hệ sô</t>
  </si>
  <si>
    <t>ngày làm việc</t>
  </si>
  <si>
    <t>Bảo hiểm</t>
  </si>
  <si>
    <t>giờ lv/ngày</t>
  </si>
  <si>
    <t>H</t>
  </si>
  <si>
    <t>Bậc</t>
  </si>
  <si>
    <t>Hệ số</t>
  </si>
  <si>
    <t>Lương phụ (12%)</t>
  </si>
  <si>
    <t>CPKG (4%)</t>
  </si>
  <si>
    <t>BHXH
BHYT
BHTN
KPCĐ</t>
  </si>
  <si>
    <t>Tổng</t>
  </si>
  <si>
    <t>CP Một ngày công</t>
  </si>
  <si>
    <t>CP Một giờ công</t>
  </si>
  <si>
    <r>
      <t xml:space="preserve"> </t>
    </r>
    <r>
      <rPr>
        <b/>
        <sz val="14"/>
        <color theme="1"/>
        <rFont val="Times New Roman"/>
        <family val="1"/>
      </rPr>
      <t>Kết quả</t>
    </r>
  </si>
  <si>
    <t>Giá trị nội suy</t>
  </si>
  <si>
    <t>≤ 0</t>
  </si>
  <si>
    <t>&gt;0</t>
  </si>
  <si>
    <t>&gt;1</t>
  </si>
  <si>
    <t>&gt;2</t>
  </si>
  <si>
    <t>&gt;3</t>
  </si>
  <si>
    <t>ES</t>
  </si>
  <si>
    <t>Giá trị nội suy (P)</t>
  </si>
  <si>
    <t>&lt; 1</t>
  </si>
  <si>
    <t>≥ 1</t>
  </si>
  <si>
    <t>≥ 3</t>
  </si>
  <si>
    <t>BẢNG TÍNH TOÁN GIÁ TRỊ PHẦN MỀM</t>
  </si>
  <si>
    <t>Hạng mục</t>
  </si>
  <si>
    <t>Diễn giải</t>
  </si>
  <si>
    <t>Giá trị</t>
  </si>
  <si>
    <t>Tính điểm trường hợp sử dụng (Use-case)</t>
  </si>
  <si>
    <t>Điểm Actor (TAW)</t>
  </si>
  <si>
    <t>Phụ lục III</t>
  </si>
  <si>
    <t>Điểm Use-case (TBF)</t>
  </si>
  <si>
    <t>Phụ lục IV</t>
  </si>
  <si>
    <t>Tính điểm UUCP</t>
  </si>
  <si>
    <t>UUCP = TAW +TBF</t>
  </si>
  <si>
    <t>TCF = 0,6 + (0,01 x TFW)</t>
  </si>
  <si>
    <t>EF = 1,4 + (-0,03 x EFW)</t>
  </si>
  <si>
    <t>Tính điểm AUCP</t>
  </si>
  <si>
    <t>AUCP = UUCP x TCF x EF</t>
  </si>
  <si>
    <t>P : người/giờ/AUCP</t>
  </si>
  <si>
    <t>Giá trị nỗ lực thực tế (E)</t>
  </si>
  <si>
    <t>E = 10/6 x AUCP</t>
  </si>
  <si>
    <t>Mức lương lao động bình quân (H)</t>
  </si>
  <si>
    <t xml:space="preserve">H: người/giờ </t>
  </si>
  <si>
    <t>V</t>
  </si>
  <si>
    <t>Giá trị phần mềm nội bộ (G)</t>
  </si>
  <si>
    <t>G = 1,4 x E x P x H</t>
  </si>
  <si>
    <t>BẢNG TỔNG HỢP CHI PHÍ PHẦN MỀM</t>
  </si>
  <si>
    <t>Khoản mục chi phí</t>
  </si>
  <si>
    <t>Cách tính</t>
  </si>
  <si>
    <t>Ký hiệu</t>
  </si>
  <si>
    <t>Giá trị phần mềm</t>
  </si>
  <si>
    <t>1,4 x E x P x H</t>
  </si>
  <si>
    <t>G</t>
  </si>
  <si>
    <t>Chi phí chung</t>
  </si>
  <si>
    <t>G x tỷ lệ</t>
  </si>
  <si>
    <t>C</t>
  </si>
  <si>
    <t>Thu nhập chịu thuế tính trước</t>
  </si>
  <si>
    <t>(G+C) x tỷ lệ</t>
  </si>
  <si>
    <t>TL</t>
  </si>
  <si>
    <t>Chi phí phần mềm</t>
  </si>
  <si>
    <t>G + C + TL</t>
  </si>
  <si>
    <r>
      <t>G</t>
    </r>
    <r>
      <rPr>
        <vertAlign val="subscript"/>
        <sz val="14"/>
        <color rgb="FF000000"/>
        <rFont val="Times New Roman"/>
        <family val="1"/>
      </rPr>
      <t>PM</t>
    </r>
  </si>
  <si>
    <t>TỔNG CỘNG</t>
  </si>
  <si>
    <t>Thu nhập chịu thuế</t>
  </si>
  <si>
    <t>tính trước</t>
  </si>
  <si>
    <t>Lương hệ số</t>
  </si>
  <si>
    <t>Tên phần mềm: Phần mềm quản lý quán cafe trên Android</t>
  </si>
  <si>
    <t>Đăng nhập hệ thống</t>
  </si>
  <si>
    <t>Input</t>
  </si>
  <si>
    <t>Quản lý tài khoản người dùng</t>
  </si>
  <si>
    <t>Database</t>
  </si>
  <si>
    <t>Quản lý danh sách bàn</t>
  </si>
  <si>
    <t>Quản lý danh sách đồ uống</t>
  </si>
  <si>
    <t>Đặt món</t>
  </si>
  <si>
    <t>Thanh toán</t>
  </si>
  <si>
    <t>Output</t>
  </si>
  <si>
    <t>Thống kê doanh thu</t>
  </si>
  <si>
    <t>Query</t>
  </si>
  <si>
    <t>Quản lý khuyến mãi</t>
  </si>
  <si>
    <t>Đăng nhập</t>
  </si>
  <si>
    <t>NV, Chủ quán</t>
  </si>
  <si>
    <t>Xác thực người dùng</t>
  </si>
  <si>
    <t>Quản lý người dùng</t>
  </si>
  <si>
    <t>Chủ quán</t>
  </si>
  <si>
    <t>NV</t>
  </si>
  <si>
    <t>Thêm/sửa/xóa</t>
  </si>
  <si>
    <t>Quản lý bàn</t>
  </si>
  <si>
    <t>Thêm/sửa/xóa bàn</t>
  </si>
  <si>
    <t>NV phục vụ</t>
  </si>
  <si>
    <t>Bếp</t>
  </si>
  <si>
    <t>Gửi order</t>
  </si>
  <si>
    <t>NV quầy</t>
  </si>
  <si>
    <t>In hóa đơn</t>
  </si>
  <si>
    <t>Thống kê</t>
  </si>
  <si>
    <t>Xem doanh thu</t>
  </si>
  <si>
    <t>Chủ quán
Nhân viên quầy
Nhân viên pha chế
Nhân viên phục vụ</t>
  </si>
  <si>
    <t>4 actor giao diện đồ họa (GUI)</t>
  </si>
  <si>
    <t xml:space="preserve"> Tổng điểm B + M +T</t>
  </si>
  <si>
    <t>12 + 136</t>
  </si>
  <si>
    <t xml:space="preserve">TFW = 38.5 </t>
  </si>
  <si>
    <t>EWF = 12</t>
  </si>
  <si>
    <t>148*0.985*0.95</t>
  </si>
  <si>
    <t>1.4 * 231 * 32 * 42.046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</si>
</sst>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3">
    <font>
      <sz val="11"/>
      <color theme="1"/>
      <name val="Calibri"/>
      <family val="2"/>
      <scheme val="minor"/>
    </font>
    <font>
      <sz val="11"/>
      <color theme="1"/>
      <name val="Calibri"/>
      <family val="2"/>
      <scheme val="minor"/>
    </font>
    <font>
      <b/>
      <sz val="14"/>
      <color theme="1"/>
      <name val="Times New Roman"/>
      <family val="1"/>
    </font>
    <font>
      <sz val="10"/>
      <color theme="1"/>
      <name val="Calibri"/>
      <family val="2"/>
      <scheme val="minor"/>
    </font>
    <font>
      <sz val="14"/>
      <color theme="1"/>
      <name val="Times New Roman"/>
      <family val="1"/>
    </font>
    <font>
      <b/>
      <sz val="14"/>
      <color rgb="FF000000"/>
      <name val="Times New Roman"/>
      <family val="1"/>
    </font>
    <font>
      <sz val="14"/>
      <color rgb="FF000000"/>
      <name val="Times New Roman"/>
      <family val="1"/>
    </font>
    <font>
      <b/>
      <sz val="13"/>
      <color rgb="FF000000"/>
      <name val="Times New Roman"/>
      <family val="1"/>
    </font>
    <font>
      <sz val="13"/>
      <color rgb="FF000000"/>
      <name val="Times New Roman"/>
      <family val="1"/>
    </font>
    <font>
      <sz val="13"/>
      <color theme="1"/>
      <name val="Times New Roman"/>
      <family val="1"/>
    </font>
    <font>
      <b/>
      <sz val="12"/>
      <color rgb="FF000000"/>
      <name val="Times New Roman"/>
      <family val="1"/>
    </font>
    <font>
      <sz val="12"/>
      <color rgb="FF000000"/>
      <name val="Times New Roman"/>
      <family val="1"/>
    </font>
    <font>
      <b/>
      <sz val="12"/>
      <name val="Times New Roman"/>
      <family val="1"/>
    </font>
    <font>
      <sz val="12"/>
      <color rgb="FFFF0000"/>
      <name val="Times New Roman"/>
      <family val="1"/>
    </font>
    <font>
      <sz val="12"/>
      <name val="Times New Roman"/>
      <family val="1"/>
    </font>
    <font>
      <i/>
      <sz val="14"/>
      <color theme="1"/>
      <name val="Times New Roman"/>
      <family val="1"/>
    </font>
    <font>
      <b/>
      <sz val="13.5"/>
      <color rgb="FF000000"/>
      <name val="Times New Roman"/>
      <family val="1"/>
    </font>
    <font>
      <vertAlign val="subscript"/>
      <sz val="14"/>
      <color rgb="FF000000"/>
      <name val="Times New Roman"/>
      <family val="1"/>
    </font>
    <font>
      <sz val="14"/>
      <color theme="1"/>
      <name val="Time ns New Roman"/>
    </font>
    <font>
      <b/>
      <sz val="14"/>
      <color theme="1"/>
      <name val="Time ns New Roman"/>
    </font>
    <font>
      <b/>
      <sz val="14"/>
      <color theme="1"/>
      <name val="Time s New Roman"/>
    </font>
    <font>
      <sz val="14"/>
      <color theme="1"/>
      <name val="Time s New Roman"/>
    </font>
    <font>
      <sz val="9"/>
      <color rgb="FF111417"/>
      <name val="Arial"/>
      <family val="2"/>
    </font>
  </fonts>
  <fills count="3">
    <fill>
      <patternFill patternType="none"/>
    </fill>
    <fill>
      <patternFill patternType="gray125"/>
    </fill>
    <fill>
      <patternFill patternType="solid">
        <fgColor rgb="FFB7B7B7"/>
        <bgColor rgb="FFB7B7B7"/>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thick">
        <color indexed="64"/>
      </top>
      <bottom/>
      <diagonal/>
    </border>
    <border>
      <left style="thick">
        <color indexed="64"/>
      </left>
      <right style="thick">
        <color indexed="64"/>
      </right>
      <top style="thick">
        <color indexed="64"/>
      </top>
      <bottom style="thick">
        <color indexed="64"/>
      </bottom>
      <diagonal/>
    </border>
    <border>
      <left style="medium">
        <color indexed="64"/>
      </left>
      <right/>
      <top style="medium">
        <color indexed="64"/>
      </top>
      <bottom style="medium">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94">
    <xf numFmtId="0" fontId="0" fillId="0" borderId="0" xfId="0"/>
    <xf numFmtId="0" fontId="0" fillId="0" borderId="1" xfId="0" applyBorder="1"/>
    <xf numFmtId="0" fontId="2" fillId="0" borderId="0" xfId="0" applyFont="1" applyAlignment="1">
      <alignment horizontal="center" vertical="center"/>
    </xf>
    <xf numFmtId="0" fontId="2" fillId="0" borderId="0" xfId="0" applyFont="1" applyAlignment="1">
      <alignment horizontal="justify"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justify" vertical="center" wrapText="1"/>
    </xf>
    <xf numFmtId="0" fontId="4" fillId="0" borderId="0" xfId="0" applyFont="1" applyAlignment="1">
      <alignment horizontal="justify" vertical="center"/>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8"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0" xfId="0" applyFont="1" applyBorder="1" applyAlignment="1">
      <alignment vertical="center" wrapText="1"/>
    </xf>
    <xf numFmtId="0" fontId="2" fillId="0" borderId="4" xfId="0" applyFont="1" applyBorder="1" applyAlignment="1">
      <alignment horizontal="center" vertical="center" wrapText="1"/>
    </xf>
    <xf numFmtId="0" fontId="2" fillId="0" borderId="5" xfId="0" applyFont="1" applyBorder="1" applyAlignment="1">
      <alignment horizontal="justify" vertical="center" wrapText="1"/>
    </xf>
    <xf numFmtId="0" fontId="4" fillId="0" borderId="5" xfId="0" applyFont="1" applyBorder="1" applyAlignment="1">
      <alignment horizontal="center" vertical="center" wrapText="1"/>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4" fillId="0" borderId="11" xfId="0" applyFont="1" applyBorder="1" applyAlignment="1">
      <alignment horizontal="center" vertical="center" wrapText="1"/>
    </xf>
    <xf numFmtId="0" fontId="2" fillId="0" borderId="10"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0" xfId="0" applyFont="1" applyBorder="1" applyAlignment="1">
      <alignment vertical="center" wrapText="1"/>
    </xf>
    <xf numFmtId="0" fontId="7" fillId="0" borderId="9"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0" xfId="0" applyFont="1" applyBorder="1" applyAlignment="1">
      <alignment horizontal="justify" vertical="center" wrapText="1"/>
    </xf>
    <xf numFmtId="0" fontId="8" fillId="0" borderId="10" xfId="0" applyFont="1" applyBorder="1" applyAlignment="1">
      <alignment horizontal="justify" vertical="center" wrapText="1"/>
    </xf>
    <xf numFmtId="0" fontId="8" fillId="0" borderId="11" xfId="0" applyFont="1" applyBorder="1" applyAlignment="1">
      <alignment horizontal="center" vertical="center" wrapText="1"/>
    </xf>
    <xf numFmtId="0" fontId="8" fillId="0" borderId="10" xfId="0" applyFont="1" applyBorder="1" applyAlignment="1">
      <alignment vertical="center" wrapText="1"/>
    </xf>
    <xf numFmtId="0" fontId="8" fillId="0" borderId="10" xfId="0" applyFont="1" applyBorder="1" applyAlignment="1">
      <alignment horizontal="center" vertical="center" wrapText="1"/>
    </xf>
    <xf numFmtId="0" fontId="7" fillId="0" borderId="10" xfId="0" applyFont="1" applyBorder="1" applyAlignment="1">
      <alignment vertical="center" wrapText="1"/>
    </xf>
    <xf numFmtId="0" fontId="3" fillId="0" borderId="10" xfId="0" applyFont="1" applyBorder="1" applyAlignment="1">
      <alignment vertical="top" wrapText="1"/>
    </xf>
    <xf numFmtId="0" fontId="3" fillId="0" borderId="11" xfId="0" applyFont="1" applyBorder="1" applyAlignment="1">
      <alignment vertical="top" wrapText="1"/>
    </xf>
    <xf numFmtId="0" fontId="9" fillId="0" borderId="10" xfId="0" applyFont="1" applyBorder="1" applyAlignment="1">
      <alignment horizontal="center" vertical="center" wrapText="1"/>
    </xf>
    <xf numFmtId="43" fontId="12" fillId="0" borderId="0" xfId="1" applyFont="1" applyAlignment="1"/>
    <xf numFmtId="0" fontId="15" fillId="0" borderId="2" xfId="0" applyFont="1" applyBorder="1" applyAlignment="1">
      <alignment horizontal="center" vertical="center" wrapText="1"/>
    </xf>
    <xf numFmtId="0" fontId="4" fillId="0" borderId="5" xfId="0" applyFont="1" applyBorder="1" applyAlignment="1">
      <alignment horizontal="left" vertical="center" wrapText="1" indent="8"/>
    </xf>
    <xf numFmtId="0" fontId="16" fillId="0" borderId="9" xfId="0" applyFont="1" applyBorder="1" applyAlignment="1">
      <alignment horizontal="center" vertical="center" wrapText="1"/>
    </xf>
    <xf numFmtId="0" fontId="16" fillId="0" borderId="8" xfId="0" applyFont="1" applyBorder="1" applyAlignment="1">
      <alignment horizontal="center" vertical="center" wrapText="1"/>
    </xf>
    <xf numFmtId="0" fontId="4" fillId="0" borderId="0" xfId="0" applyFont="1" applyAlignment="1">
      <alignment horizontal="center" vertical="center"/>
    </xf>
    <xf numFmtId="0" fontId="6" fillId="0" borderId="10" xfId="0" applyFont="1" applyBorder="1" applyAlignment="1">
      <alignment horizontal="justify" vertical="center" wrapText="1"/>
    </xf>
    <xf numFmtId="0" fontId="16" fillId="0" borderId="10" xfId="0" applyFont="1" applyBorder="1" applyAlignment="1">
      <alignment horizontal="center" vertical="center" wrapText="1"/>
    </xf>
    <xf numFmtId="0" fontId="2" fillId="0" borderId="7" xfId="0" applyFont="1" applyBorder="1" applyAlignment="1">
      <alignment horizontal="center" vertical="center" wrapText="1"/>
    </xf>
    <xf numFmtId="0" fontId="4" fillId="0" borderId="9" xfId="0" applyFont="1" applyBorder="1" applyAlignment="1">
      <alignment horizontal="center" vertical="center" wrapText="1"/>
    </xf>
    <xf numFmtId="9" fontId="4" fillId="0" borderId="8" xfId="2" applyFont="1" applyBorder="1" applyAlignment="1">
      <alignment horizontal="center" vertical="center" wrapText="1"/>
    </xf>
    <xf numFmtId="9" fontId="4" fillId="0" borderId="10" xfId="2" applyFont="1" applyBorder="1" applyAlignment="1">
      <alignment horizontal="center" vertical="center" wrapText="1"/>
    </xf>
    <xf numFmtId="0" fontId="2" fillId="0" borderId="0" xfId="0" applyFont="1" applyAlignment="1">
      <alignment horizontal="center" vertical="center"/>
    </xf>
    <xf numFmtId="0" fontId="4" fillId="0" borderId="6" xfId="0" applyFont="1" applyBorder="1" applyAlignment="1">
      <alignment vertical="center" wrapText="1"/>
    </xf>
    <xf numFmtId="0" fontId="4" fillId="0" borderId="12" xfId="0" applyFont="1" applyBorder="1" applyAlignment="1">
      <alignment vertical="center" wrapText="1"/>
    </xf>
    <xf numFmtId="0" fontId="4" fillId="0" borderId="11" xfId="0" applyFont="1" applyBorder="1" applyAlignment="1">
      <alignment vertical="center" wrapText="1"/>
    </xf>
    <xf numFmtId="0" fontId="4" fillId="0" borderId="6"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1"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1" xfId="0" applyFont="1" applyBorder="1" applyAlignment="1">
      <alignment horizontal="center" vertical="center" wrapText="1"/>
    </xf>
    <xf numFmtId="0" fontId="19" fillId="0" borderId="1" xfId="0" applyFont="1" applyBorder="1" applyAlignment="1">
      <alignment horizontal="center" vertical="center" wrapText="1"/>
    </xf>
    <xf numFmtId="0" fontId="18" fillId="0" borderId="1" xfId="0" applyFont="1" applyBorder="1" applyAlignment="1">
      <alignment vertical="center" wrapText="1"/>
    </xf>
    <xf numFmtId="0" fontId="0" fillId="0" borderId="13" xfId="0" applyBorder="1"/>
    <xf numFmtId="0" fontId="20" fillId="0" borderId="14" xfId="0" applyFont="1" applyBorder="1" applyAlignment="1">
      <alignment horizontal="center" vertical="center" wrapText="1"/>
    </xf>
    <xf numFmtId="0" fontId="21" fillId="0" borderId="14" xfId="0" applyFont="1" applyBorder="1" applyAlignment="1">
      <alignment vertical="center" wrapText="1"/>
    </xf>
    <xf numFmtId="0" fontId="0" fillId="0" borderId="0" xfId="0" applyBorder="1"/>
    <xf numFmtId="0" fontId="21" fillId="0" borderId="0" xfId="0" applyFont="1" applyBorder="1" applyAlignment="1">
      <alignment vertical="center" wrapText="1"/>
    </xf>
    <xf numFmtId="43" fontId="6" fillId="0" borderId="10" xfId="1" applyFont="1" applyBorder="1" applyAlignment="1">
      <alignment horizontal="justify" vertical="center" wrapText="1"/>
    </xf>
    <xf numFmtId="43" fontId="16" fillId="0" borderId="9" xfId="1" applyFont="1" applyBorder="1" applyAlignment="1">
      <alignment horizontal="center" vertical="center" wrapText="1"/>
    </xf>
    <xf numFmtId="43" fontId="16" fillId="0" borderId="8" xfId="1" applyFont="1" applyBorder="1" applyAlignment="1">
      <alignment horizontal="center" vertical="center" wrapText="1"/>
    </xf>
    <xf numFmtId="43" fontId="7" fillId="0" borderId="11" xfId="1" applyFont="1" applyBorder="1" applyAlignment="1">
      <alignment horizontal="center" vertical="center" wrapText="1"/>
    </xf>
    <xf numFmtId="43" fontId="7" fillId="0" borderId="10" xfId="1" applyFont="1" applyBorder="1" applyAlignment="1">
      <alignment horizontal="justify" vertical="center" wrapText="1"/>
    </xf>
    <xf numFmtId="43" fontId="8" fillId="0" borderId="11" xfId="1" applyFont="1" applyBorder="1" applyAlignment="1">
      <alignment horizontal="center" vertical="center" wrapText="1"/>
    </xf>
    <xf numFmtId="43" fontId="8" fillId="0" borderId="10" xfId="1" applyFont="1" applyBorder="1" applyAlignment="1">
      <alignment horizontal="justify" vertical="center" wrapText="1"/>
    </xf>
    <xf numFmtId="43" fontId="8" fillId="0" borderId="10" xfId="1" applyFont="1" applyBorder="1" applyAlignment="1">
      <alignment horizontal="center" vertical="center" wrapText="1"/>
    </xf>
    <xf numFmtId="43" fontId="8" fillId="0" borderId="10" xfId="1" applyFont="1" applyBorder="1" applyAlignment="1">
      <alignment vertical="center" wrapText="1"/>
    </xf>
    <xf numFmtId="43" fontId="7" fillId="0" borderId="10" xfId="1" applyFont="1" applyBorder="1" applyAlignment="1">
      <alignment vertical="center" wrapText="1"/>
    </xf>
    <xf numFmtId="43" fontId="10" fillId="0" borderId="0" xfId="1" applyFont="1" applyAlignment="1">
      <alignment horizontal="center"/>
    </xf>
    <xf numFmtId="43" fontId="11" fillId="0" borderId="0" xfId="1" applyFont="1"/>
    <xf numFmtId="43" fontId="12" fillId="0" borderId="0" xfId="1" applyFont="1" applyAlignment="1">
      <alignment horizontal="center"/>
    </xf>
    <xf numFmtId="43" fontId="11" fillId="0" borderId="0" xfId="1" applyFont="1"/>
    <xf numFmtId="43" fontId="12" fillId="0" borderId="0" xfId="1" applyFont="1"/>
    <xf numFmtId="43" fontId="13" fillId="0" borderId="0" xfId="1" applyFont="1" applyAlignment="1">
      <alignment horizontal="center"/>
    </xf>
    <xf numFmtId="43" fontId="10" fillId="2" borderId="9" xfId="1" applyFont="1" applyFill="1" applyBorder="1" applyAlignment="1">
      <alignment horizontal="center"/>
    </xf>
    <xf numFmtId="43" fontId="12" fillId="2" borderId="9" xfId="1" applyFont="1" applyFill="1" applyBorder="1" applyAlignment="1">
      <alignment horizontal="center"/>
    </xf>
    <xf numFmtId="43" fontId="14" fillId="0" borderId="9" xfId="1" applyFont="1" applyBorder="1"/>
    <xf numFmtId="43" fontId="14" fillId="0" borderId="9" xfId="1" applyFont="1" applyBorder="1" applyAlignment="1">
      <alignment horizontal="right"/>
    </xf>
    <xf numFmtId="43" fontId="12" fillId="0" borderId="9" xfId="1" applyFont="1" applyBorder="1"/>
    <xf numFmtId="43" fontId="14" fillId="0" borderId="6" xfId="1" applyFont="1" applyBorder="1"/>
    <xf numFmtId="43" fontId="14" fillId="0" borderId="15" xfId="1" applyFont="1" applyBorder="1"/>
    <xf numFmtId="43" fontId="22" fillId="0" borderId="14" xfId="1" applyFont="1" applyBorder="1"/>
    <xf numFmtId="43" fontId="14" fillId="0" borderId="8" xfId="1" applyFont="1" applyBorder="1" applyAlignment="1">
      <alignment horizontal="right"/>
    </xf>
    <xf numFmtId="43" fontId="14" fillId="0" borderId="0" xfId="1" applyFon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D7F6E-C166-4E8C-A14D-C7598AF86226}">
  <dimension ref="B5:C11"/>
  <sheetViews>
    <sheetView workbookViewId="0">
      <selection activeCell="E13" sqref="E13"/>
    </sheetView>
  </sheetViews>
  <sheetFormatPr defaultRowHeight="14.5"/>
  <cols>
    <col min="3" max="3" width="24" customWidth="1"/>
  </cols>
  <sheetData>
    <row r="5" spans="2:3">
      <c r="B5" s="1" t="s">
        <v>0</v>
      </c>
      <c r="C5" s="1" t="s">
        <v>1</v>
      </c>
    </row>
    <row r="6" spans="2:3">
      <c r="B6" s="1"/>
      <c r="C6" s="1"/>
    </row>
    <row r="7" spans="2:3">
      <c r="B7" s="1"/>
      <c r="C7" s="1"/>
    </row>
    <row r="8" spans="2:3">
      <c r="B8" s="1"/>
      <c r="C8" s="1"/>
    </row>
    <row r="9" spans="2:3">
      <c r="B9" s="1"/>
      <c r="C9" s="1"/>
    </row>
    <row r="10" spans="2:3">
      <c r="B10" s="1"/>
      <c r="C10" s="1"/>
    </row>
    <row r="11" spans="2:3">
      <c r="B11" s="1"/>
      <c r="C1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CBF16-51DE-4B35-8DE8-EF0E4A3D2D08}">
  <dimension ref="A1:D19"/>
  <sheetViews>
    <sheetView workbookViewId="0">
      <selection activeCell="D8" sqref="D8"/>
    </sheetView>
  </sheetViews>
  <sheetFormatPr defaultRowHeight="14.5"/>
  <cols>
    <col min="2" max="2" width="36.1796875" customWidth="1"/>
    <col min="3" max="3" width="35.81640625" customWidth="1"/>
    <col min="4" max="4" width="29.453125" customWidth="1"/>
  </cols>
  <sheetData>
    <row r="1" spans="1:4" ht="17.5">
      <c r="A1" s="52" t="s">
        <v>2</v>
      </c>
      <c r="B1" s="52"/>
      <c r="C1" s="52"/>
      <c r="D1" s="52"/>
    </row>
    <row r="2" spans="1:4" ht="17.5">
      <c r="A2" s="52" t="s">
        <v>3</v>
      </c>
      <c r="B2" s="52"/>
      <c r="C2" s="52"/>
      <c r="D2" s="52"/>
    </row>
    <row r="3" spans="1:4" ht="17.5">
      <c r="A3" s="52" t="s">
        <v>200</v>
      </c>
      <c r="B3" s="52"/>
      <c r="C3" s="52"/>
      <c r="D3" s="52"/>
    </row>
    <row r="4" spans="1:4" ht="17.5">
      <c r="A4" s="3"/>
    </row>
    <row r="5" spans="1:4" ht="18">
      <c r="A5" s="61" t="s">
        <v>4</v>
      </c>
      <c r="B5" s="61" t="s">
        <v>5</v>
      </c>
      <c r="C5" s="61" t="s">
        <v>6</v>
      </c>
      <c r="D5" s="61" t="s">
        <v>7</v>
      </c>
    </row>
    <row r="6" spans="1:4" ht="17.5">
      <c r="A6" s="62">
        <v>1</v>
      </c>
      <c r="B6" s="62" t="s">
        <v>201</v>
      </c>
      <c r="C6" s="62" t="s">
        <v>202</v>
      </c>
      <c r="D6" s="62" t="s">
        <v>35</v>
      </c>
    </row>
    <row r="7" spans="1:4" ht="17.5">
      <c r="A7" s="62">
        <v>2</v>
      </c>
      <c r="B7" s="62" t="s">
        <v>203</v>
      </c>
      <c r="C7" s="62" t="s">
        <v>204</v>
      </c>
      <c r="D7" s="62" t="s">
        <v>35</v>
      </c>
    </row>
    <row r="8" spans="1:4" ht="17.5">
      <c r="A8" s="62">
        <v>3</v>
      </c>
      <c r="B8" s="62" t="s">
        <v>205</v>
      </c>
      <c r="C8" s="62" t="s">
        <v>204</v>
      </c>
      <c r="D8" s="62" t="s">
        <v>35</v>
      </c>
    </row>
    <row r="9" spans="1:4" ht="17.5">
      <c r="A9" s="62">
        <v>4</v>
      </c>
      <c r="B9" s="62" t="s">
        <v>206</v>
      </c>
      <c r="C9" s="62" t="s">
        <v>204</v>
      </c>
      <c r="D9" s="62" t="s">
        <v>35</v>
      </c>
    </row>
    <row r="10" spans="1:4" ht="17.5">
      <c r="A10" s="62">
        <v>5</v>
      </c>
      <c r="B10" s="62" t="s">
        <v>207</v>
      </c>
      <c r="C10" s="62" t="s">
        <v>202</v>
      </c>
      <c r="D10" s="62" t="s">
        <v>35</v>
      </c>
    </row>
    <row r="11" spans="1:4" ht="17.5">
      <c r="A11" s="62">
        <v>6</v>
      </c>
      <c r="B11" s="62" t="s">
        <v>208</v>
      </c>
      <c r="C11" s="62" t="s">
        <v>209</v>
      </c>
      <c r="D11" s="62" t="s">
        <v>35</v>
      </c>
    </row>
    <row r="12" spans="1:4" ht="17.5">
      <c r="A12" s="62">
        <v>7</v>
      </c>
      <c r="B12" s="62" t="s">
        <v>210</v>
      </c>
      <c r="C12" s="62" t="s">
        <v>211</v>
      </c>
      <c r="D12" s="62" t="s">
        <v>39</v>
      </c>
    </row>
    <row r="13" spans="1:4" ht="17.5">
      <c r="A13" s="62">
        <v>8</v>
      </c>
      <c r="B13" s="62" t="s">
        <v>212</v>
      </c>
      <c r="C13" s="62" t="s">
        <v>204</v>
      </c>
      <c r="D13" s="62" t="s">
        <v>40</v>
      </c>
    </row>
    <row r="18" spans="4:4" ht="15" thickBot="1"/>
    <row r="19" spans="4:4" ht="15" thickTop="1">
      <c r="D19" s="63"/>
    </row>
  </sheetData>
  <mergeCells count="3">
    <mergeCell ref="A1:D1"/>
    <mergeCell ref="A2:D2"/>
    <mergeCell ref="A3:D3"/>
  </mergeCells>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072F0-B46E-4E4B-B0A0-47F1FFE7F7DD}">
  <dimension ref="A1:F16"/>
  <sheetViews>
    <sheetView workbookViewId="0">
      <selection activeCell="C18" sqref="C18"/>
    </sheetView>
  </sheetViews>
  <sheetFormatPr defaultRowHeight="14.5"/>
  <cols>
    <col min="2" max="2" width="30.08984375" customWidth="1"/>
    <col min="3" max="3" width="28.36328125" customWidth="1"/>
    <col min="4" max="4" width="24.1796875" customWidth="1"/>
    <col min="5" max="5" width="25.81640625" customWidth="1"/>
    <col min="6" max="6" width="29.6328125" customWidth="1"/>
  </cols>
  <sheetData>
    <row r="1" spans="1:6" ht="17.5">
      <c r="A1" s="52" t="s">
        <v>9</v>
      </c>
      <c r="B1" s="52"/>
      <c r="C1" s="52"/>
      <c r="D1" s="52"/>
      <c r="E1" s="52"/>
      <c r="F1" s="52"/>
    </row>
    <row r="2" spans="1:6" ht="17.5">
      <c r="A2" s="52" t="s">
        <v>10</v>
      </c>
      <c r="B2" s="52"/>
      <c r="C2" s="52"/>
      <c r="D2" s="52"/>
      <c r="E2" s="52"/>
      <c r="F2" s="52"/>
    </row>
    <row r="3" spans="1:6" ht="18">
      <c r="A3" s="52" t="s">
        <v>200</v>
      </c>
      <c r="B3" s="52"/>
      <c r="C3" s="52"/>
      <c r="D3" s="52"/>
      <c r="E3" s="52"/>
      <c r="F3" s="52"/>
    </row>
    <row r="4" spans="1:6" ht="18.5" thickBot="1">
      <c r="A4" s="8"/>
    </row>
    <row r="5" spans="1:6" ht="37" thickTop="1" thickBot="1">
      <c r="A5" s="64" t="s">
        <v>4</v>
      </c>
      <c r="B5" s="64" t="s">
        <v>11</v>
      </c>
      <c r="C5" s="64" t="s">
        <v>12</v>
      </c>
      <c r="D5" s="64" t="s">
        <v>13</v>
      </c>
      <c r="E5" s="64" t="s">
        <v>14</v>
      </c>
      <c r="F5" s="64" t="s">
        <v>15</v>
      </c>
    </row>
    <row r="6" spans="1:6" ht="18.5" thickTop="1" thickBot="1">
      <c r="A6" s="65">
        <v>1</v>
      </c>
      <c r="B6" s="65" t="s">
        <v>213</v>
      </c>
      <c r="C6" s="65" t="s">
        <v>214</v>
      </c>
      <c r="D6" s="65"/>
      <c r="E6" s="65" t="s">
        <v>215</v>
      </c>
      <c r="F6" s="65" t="s">
        <v>35</v>
      </c>
    </row>
    <row r="7" spans="1:6" ht="18.5" thickTop="1" thickBot="1">
      <c r="A7" s="65">
        <v>2</v>
      </c>
      <c r="B7" s="65" t="s">
        <v>216</v>
      </c>
      <c r="C7" s="65" t="s">
        <v>217</v>
      </c>
      <c r="D7" s="65" t="s">
        <v>218</v>
      </c>
      <c r="E7" s="65" t="s">
        <v>219</v>
      </c>
      <c r="F7" s="65" t="s">
        <v>35</v>
      </c>
    </row>
    <row r="8" spans="1:6" ht="18.5" thickTop="1" thickBot="1">
      <c r="A8" s="65">
        <v>3</v>
      </c>
      <c r="B8" s="65" t="s">
        <v>220</v>
      </c>
      <c r="C8" s="65" t="s">
        <v>217</v>
      </c>
      <c r="D8" s="65"/>
      <c r="E8" s="65" t="s">
        <v>221</v>
      </c>
      <c r="F8" s="65" t="s">
        <v>35</v>
      </c>
    </row>
    <row r="9" spans="1:6" ht="18.5" thickTop="1" thickBot="1">
      <c r="A9" s="65">
        <v>4</v>
      </c>
      <c r="B9" s="65" t="s">
        <v>207</v>
      </c>
      <c r="C9" s="65" t="s">
        <v>222</v>
      </c>
      <c r="D9" s="65" t="s">
        <v>223</v>
      </c>
      <c r="E9" s="65" t="s">
        <v>224</v>
      </c>
      <c r="F9" s="65" t="s">
        <v>35</v>
      </c>
    </row>
    <row r="10" spans="1:6" ht="18.5" thickTop="1" thickBot="1">
      <c r="A10" s="65">
        <v>5</v>
      </c>
      <c r="B10" s="65" t="s">
        <v>208</v>
      </c>
      <c r="C10" s="65" t="s">
        <v>225</v>
      </c>
      <c r="D10" s="65"/>
      <c r="E10" s="65" t="s">
        <v>226</v>
      </c>
      <c r="F10" s="65" t="s">
        <v>35</v>
      </c>
    </row>
    <row r="11" spans="1:6" ht="18.5" thickTop="1" thickBot="1">
      <c r="A11" s="65">
        <v>6</v>
      </c>
      <c r="B11" s="65" t="s">
        <v>227</v>
      </c>
      <c r="C11" s="65" t="s">
        <v>217</v>
      </c>
      <c r="D11" s="65"/>
      <c r="E11" s="65" t="s">
        <v>228</v>
      </c>
      <c r="F11" s="65" t="s">
        <v>39</v>
      </c>
    </row>
    <row r="12" spans="1:6" ht="18" thickTop="1">
      <c r="A12" s="67"/>
      <c r="B12" s="67"/>
      <c r="C12" s="67"/>
      <c r="D12" s="67"/>
      <c r="E12" s="67"/>
      <c r="F12" s="67"/>
    </row>
    <row r="13" spans="1:6">
      <c r="A13" s="66"/>
      <c r="B13" s="66"/>
      <c r="C13" s="66"/>
      <c r="D13" s="66"/>
      <c r="E13" s="66"/>
      <c r="F13" s="66"/>
    </row>
    <row r="16" spans="1:6">
      <c r="B16" s="66"/>
    </row>
  </sheetData>
  <mergeCells count="3">
    <mergeCell ref="A1:F1"/>
    <mergeCell ref="A2:F2"/>
    <mergeCell ref="A3: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9DD13-F79F-43D3-9A69-9A993A9B6F9A}">
  <dimension ref="A1:K8"/>
  <sheetViews>
    <sheetView topLeftCell="A4" zoomScale="115" zoomScaleNormal="115" workbookViewId="0">
      <selection activeCell="E7" sqref="E7"/>
    </sheetView>
  </sheetViews>
  <sheetFormatPr defaultRowHeight="14.5"/>
  <cols>
    <col min="2" max="2" width="21.08984375" customWidth="1"/>
    <col min="3" max="3" width="29.81640625" customWidth="1"/>
    <col min="5" max="5" width="13.1796875" customWidth="1"/>
    <col min="6" max="6" width="27" customWidth="1"/>
    <col min="10" max="10" width="24.36328125" customWidth="1"/>
    <col min="11" max="11" width="13.81640625" customWidth="1"/>
  </cols>
  <sheetData>
    <row r="1" spans="1:11" ht="17.5">
      <c r="A1" s="52" t="s">
        <v>16</v>
      </c>
      <c r="B1" s="52"/>
      <c r="C1" s="52"/>
      <c r="D1" s="52"/>
      <c r="E1" s="52"/>
      <c r="F1" s="52"/>
    </row>
    <row r="2" spans="1:11" ht="18">
      <c r="A2" s="52" t="s">
        <v>200</v>
      </c>
      <c r="B2" s="52"/>
      <c r="C2" s="52"/>
      <c r="D2" s="52"/>
      <c r="E2" s="52"/>
      <c r="F2" s="52"/>
    </row>
    <row r="3" spans="1:11" ht="18.5" thickBot="1">
      <c r="A3" s="8"/>
    </row>
    <row r="4" spans="1:11" ht="72" customHeight="1" thickBot="1">
      <c r="A4" s="9" t="s">
        <v>4</v>
      </c>
      <c r="B4" s="10" t="s">
        <v>17</v>
      </c>
      <c r="C4" s="10" t="s">
        <v>18</v>
      </c>
      <c r="D4" s="11" t="s">
        <v>19</v>
      </c>
      <c r="E4" s="10" t="s">
        <v>20</v>
      </c>
      <c r="F4" s="10" t="s">
        <v>7</v>
      </c>
      <c r="I4" s="17" t="s">
        <v>4</v>
      </c>
      <c r="J4" s="11" t="s">
        <v>17</v>
      </c>
      <c r="K4" s="11" t="s">
        <v>29</v>
      </c>
    </row>
    <row r="5" spans="1:11" ht="57.65" customHeight="1" thickBot="1">
      <c r="A5" s="12">
        <v>1</v>
      </c>
      <c r="B5" s="13" t="s">
        <v>21</v>
      </c>
      <c r="C5" s="13" t="s">
        <v>22</v>
      </c>
      <c r="D5" s="14"/>
      <c r="E5" s="13"/>
      <c r="F5" s="13"/>
      <c r="I5" s="15">
        <v>1</v>
      </c>
      <c r="J5" s="18" t="s">
        <v>21</v>
      </c>
      <c r="K5" s="14">
        <v>1</v>
      </c>
    </row>
    <row r="6" spans="1:11" ht="57" customHeight="1" thickBot="1">
      <c r="A6" s="15">
        <v>2</v>
      </c>
      <c r="B6" s="14" t="s">
        <v>23</v>
      </c>
      <c r="C6" s="14" t="s">
        <v>24</v>
      </c>
      <c r="D6" s="14"/>
      <c r="E6" s="14"/>
      <c r="F6" s="14"/>
      <c r="I6" s="15">
        <v>2</v>
      </c>
      <c r="J6" s="18" t="s">
        <v>23</v>
      </c>
      <c r="K6" s="14">
        <v>2</v>
      </c>
    </row>
    <row r="7" spans="1:11" ht="157.5" customHeight="1" thickBot="1">
      <c r="A7" s="15">
        <v>3</v>
      </c>
      <c r="B7" s="14" t="s">
        <v>25</v>
      </c>
      <c r="C7" s="14" t="s">
        <v>26</v>
      </c>
      <c r="D7" s="14">
        <v>4</v>
      </c>
      <c r="E7" s="14">
        <v>3</v>
      </c>
      <c r="F7" s="14" t="s">
        <v>229</v>
      </c>
      <c r="I7" s="15">
        <v>3</v>
      </c>
      <c r="J7" s="18" t="s">
        <v>25</v>
      </c>
      <c r="K7" s="14">
        <v>3</v>
      </c>
    </row>
    <row r="8" spans="1:11" ht="18.5" thickBot="1">
      <c r="A8" s="15"/>
      <c r="B8" s="16" t="s">
        <v>27</v>
      </c>
      <c r="C8" s="14" t="s">
        <v>28</v>
      </c>
      <c r="D8" s="14">
        <v>4</v>
      </c>
      <c r="E8" s="14">
        <v>12</v>
      </c>
      <c r="F8" s="14"/>
    </row>
  </sheetData>
  <mergeCells count="2">
    <mergeCell ref="A2:F2"/>
    <mergeCell ref="A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5FC49-2246-4E4F-A661-9F809EA5E9CF}">
  <dimension ref="A1:I17"/>
  <sheetViews>
    <sheetView workbookViewId="0">
      <selection activeCell="D30" sqref="D30"/>
    </sheetView>
  </sheetViews>
  <sheetFormatPr defaultRowHeight="14.5"/>
  <cols>
    <col min="2" max="2" width="30.54296875" customWidth="1"/>
    <col min="3" max="3" width="24.1796875" customWidth="1"/>
    <col min="4" max="4" width="27.08984375" customWidth="1"/>
    <col min="7" max="7" width="25.54296875" customWidth="1"/>
    <col min="8" max="8" width="16" customWidth="1"/>
    <col min="9" max="9" width="16.1796875" customWidth="1"/>
  </cols>
  <sheetData>
    <row r="1" spans="1:9" ht="17.5">
      <c r="A1" s="52" t="s">
        <v>30</v>
      </c>
      <c r="B1" s="52"/>
      <c r="C1" s="52"/>
      <c r="D1" s="52"/>
    </row>
    <row r="2" spans="1:9" ht="17.5">
      <c r="A2" s="52" t="s">
        <v>200</v>
      </c>
      <c r="B2" s="52"/>
      <c r="C2" s="52"/>
      <c r="D2" s="52"/>
    </row>
    <row r="3" spans="1:9" ht="18.5" thickBot="1">
      <c r="A3" s="8"/>
    </row>
    <row r="4" spans="1:9" ht="69.650000000000006" customHeight="1" thickBot="1">
      <c r="A4" s="4" t="s">
        <v>31</v>
      </c>
      <c r="B4" s="5" t="s">
        <v>32</v>
      </c>
      <c r="C4" s="5" t="s">
        <v>33</v>
      </c>
      <c r="D4" s="5" t="s">
        <v>34</v>
      </c>
      <c r="F4" s="22" t="s">
        <v>4</v>
      </c>
      <c r="G4" s="23" t="s">
        <v>43</v>
      </c>
      <c r="H4" s="23" t="s">
        <v>29</v>
      </c>
      <c r="I4" s="23" t="s">
        <v>44</v>
      </c>
    </row>
    <row r="5" spans="1:9" ht="18.5" thickBot="1">
      <c r="A5" s="19">
        <v>1</v>
      </c>
      <c r="B5" s="20" t="s">
        <v>35</v>
      </c>
      <c r="C5" s="7"/>
      <c r="D5" s="7"/>
      <c r="F5" s="24">
        <v>1</v>
      </c>
      <c r="G5" s="25" t="s">
        <v>35</v>
      </c>
      <c r="H5" s="26"/>
      <c r="I5" s="26"/>
    </row>
    <row r="6" spans="1:9" ht="36.65" customHeight="1" thickBot="1">
      <c r="A6" s="6"/>
      <c r="B6" s="7" t="s">
        <v>36</v>
      </c>
      <c r="C6" s="7">
        <v>2</v>
      </c>
      <c r="D6" s="7">
        <v>10</v>
      </c>
      <c r="F6" s="53"/>
      <c r="G6" s="27" t="s">
        <v>36</v>
      </c>
      <c r="H6" s="26">
        <v>5</v>
      </c>
      <c r="I6" s="26">
        <v>1</v>
      </c>
    </row>
    <row r="7" spans="1:9" ht="36.65" customHeight="1" thickBot="1">
      <c r="A7" s="6"/>
      <c r="B7" s="7" t="s">
        <v>37</v>
      </c>
      <c r="C7" s="7">
        <v>3</v>
      </c>
      <c r="D7" s="7">
        <v>30</v>
      </c>
      <c r="F7" s="54"/>
      <c r="G7" s="27" t="s">
        <v>37</v>
      </c>
      <c r="H7" s="26">
        <v>10</v>
      </c>
      <c r="I7" s="26">
        <v>1</v>
      </c>
    </row>
    <row r="8" spans="1:9" ht="36.65" customHeight="1" thickBot="1">
      <c r="A8" s="6"/>
      <c r="B8" s="7" t="s">
        <v>38</v>
      </c>
      <c r="C8" s="7">
        <v>2</v>
      </c>
      <c r="D8" s="7">
        <v>30</v>
      </c>
      <c r="F8" s="55"/>
      <c r="G8" s="27" t="s">
        <v>38</v>
      </c>
      <c r="H8" s="26">
        <v>15</v>
      </c>
      <c r="I8" s="26">
        <v>1</v>
      </c>
    </row>
    <row r="9" spans="1:9" ht="18.5" thickBot="1">
      <c r="A9" s="19">
        <v>2</v>
      </c>
      <c r="B9" s="20" t="s">
        <v>39</v>
      </c>
      <c r="C9" s="7"/>
      <c r="D9" s="7"/>
      <c r="F9" s="24">
        <v>2</v>
      </c>
      <c r="G9" s="25" t="s">
        <v>39</v>
      </c>
      <c r="H9" s="26"/>
      <c r="I9" s="26"/>
    </row>
    <row r="10" spans="1:9" ht="36.65" customHeight="1" thickBot="1">
      <c r="A10" s="6"/>
      <c r="B10" s="7" t="s">
        <v>36</v>
      </c>
      <c r="C10" s="7">
        <v>1</v>
      </c>
      <c r="D10" s="7">
        <f>5*1.12</f>
        <v>5.6000000000000005</v>
      </c>
      <c r="F10" s="56"/>
      <c r="G10" s="27" t="s">
        <v>36</v>
      </c>
      <c r="H10" s="26">
        <v>5</v>
      </c>
      <c r="I10" s="26">
        <v>1.2</v>
      </c>
    </row>
    <row r="11" spans="1:9" ht="36.65" customHeight="1" thickBot="1">
      <c r="A11" s="6"/>
      <c r="B11" s="7" t="s">
        <v>37</v>
      </c>
      <c r="C11" s="7">
        <v>1</v>
      </c>
      <c r="D11" s="7">
        <f>10*1.2</f>
        <v>12</v>
      </c>
      <c r="F11" s="57"/>
      <c r="G11" s="27" t="s">
        <v>37</v>
      </c>
      <c r="H11" s="26">
        <v>10</v>
      </c>
      <c r="I11" s="26">
        <v>1.2</v>
      </c>
    </row>
    <row r="12" spans="1:9" ht="36.65" customHeight="1" thickBot="1">
      <c r="A12" s="6"/>
      <c r="B12" s="7" t="s">
        <v>38</v>
      </c>
      <c r="C12" s="7">
        <v>1</v>
      </c>
      <c r="D12" s="7">
        <f>15*1.2</f>
        <v>18</v>
      </c>
      <c r="F12" s="58"/>
      <c r="G12" s="27" t="s">
        <v>38</v>
      </c>
      <c r="H12" s="26">
        <v>15</v>
      </c>
      <c r="I12" s="26">
        <v>1.2</v>
      </c>
    </row>
    <row r="13" spans="1:9" ht="18.5" thickBot="1">
      <c r="A13" s="19">
        <v>3</v>
      </c>
      <c r="B13" s="20" t="s">
        <v>40</v>
      </c>
      <c r="C13" s="7"/>
      <c r="D13" s="7"/>
      <c r="F13" s="24">
        <v>3</v>
      </c>
      <c r="G13" s="25" t="s">
        <v>40</v>
      </c>
      <c r="H13" s="26"/>
      <c r="I13" s="26"/>
    </row>
    <row r="14" spans="1:9" ht="36.65" customHeight="1" thickBot="1">
      <c r="A14" s="6"/>
      <c r="B14" s="7" t="s">
        <v>36</v>
      </c>
      <c r="C14" s="7">
        <v>1</v>
      </c>
      <c r="D14" s="7">
        <f>5*1.5</f>
        <v>7.5</v>
      </c>
      <c r="F14" s="53"/>
      <c r="G14" s="27" t="s">
        <v>36</v>
      </c>
      <c r="H14" s="26">
        <v>5</v>
      </c>
      <c r="I14" s="26">
        <v>1.5</v>
      </c>
    </row>
    <row r="15" spans="1:9" ht="36.65" customHeight="1" thickBot="1">
      <c r="A15" s="6"/>
      <c r="B15" s="7" t="s">
        <v>37</v>
      </c>
      <c r="C15" s="7">
        <v>0</v>
      </c>
      <c r="D15" s="7">
        <v>0</v>
      </c>
      <c r="F15" s="54"/>
      <c r="G15" s="27" t="s">
        <v>37</v>
      </c>
      <c r="H15" s="26">
        <v>10</v>
      </c>
      <c r="I15" s="26">
        <v>1.5</v>
      </c>
    </row>
    <row r="16" spans="1:9" ht="36.65" customHeight="1" thickBot="1">
      <c r="A16" s="6"/>
      <c r="B16" s="7" t="s">
        <v>38</v>
      </c>
      <c r="C16" s="7">
        <v>1</v>
      </c>
      <c r="D16" s="7">
        <f>15*1.5</f>
        <v>22.5</v>
      </c>
      <c r="F16" s="55"/>
      <c r="G16" s="27" t="s">
        <v>38</v>
      </c>
      <c r="H16" s="26">
        <v>15</v>
      </c>
      <c r="I16" s="26">
        <v>1.5</v>
      </c>
    </row>
    <row r="17" spans="1:4" ht="18.5" thickBot="1">
      <c r="A17" s="6"/>
      <c r="B17" s="20" t="s">
        <v>41</v>
      </c>
      <c r="C17" s="21" t="s">
        <v>42</v>
      </c>
      <c r="D17" s="7">
        <f>SUM(D6:D16)</f>
        <v>135.6</v>
      </c>
    </row>
  </sheetData>
  <mergeCells count="5">
    <mergeCell ref="A1:D1"/>
    <mergeCell ref="A2:D2"/>
    <mergeCell ref="F6:F8"/>
    <mergeCell ref="F10:F12"/>
    <mergeCell ref="F14:F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4EE3A-B58A-4B75-8F3D-97EB4C2C380C}">
  <dimension ref="A1:F19"/>
  <sheetViews>
    <sheetView topLeftCell="A13" workbookViewId="0">
      <selection activeCell="E14" sqref="E14"/>
    </sheetView>
  </sheetViews>
  <sheetFormatPr defaultRowHeight="14.5"/>
  <cols>
    <col min="2" max="2" width="42.453125" customWidth="1"/>
  </cols>
  <sheetData>
    <row r="1" spans="1:6" ht="17.5">
      <c r="A1" s="52" t="s">
        <v>46</v>
      </c>
      <c r="B1" s="52"/>
      <c r="C1" s="52"/>
      <c r="D1" s="52"/>
      <c r="E1" s="52"/>
      <c r="F1" s="52"/>
    </row>
    <row r="2" spans="1:6" ht="17.5">
      <c r="A2" s="52" t="s">
        <v>200</v>
      </c>
      <c r="B2" s="52"/>
      <c r="C2" s="52"/>
      <c r="D2" s="52"/>
      <c r="E2" s="52"/>
      <c r="F2" s="52"/>
    </row>
    <row r="3" spans="1:6" ht="18" thickBot="1">
      <c r="A3" s="3"/>
    </row>
    <row r="4" spans="1:6" ht="50" thickBot="1">
      <c r="A4" s="28" t="s">
        <v>4</v>
      </c>
      <c r="B4" s="29" t="s">
        <v>47</v>
      </c>
      <c r="C4" s="29" t="s">
        <v>48</v>
      </c>
      <c r="D4" s="29" t="s">
        <v>49</v>
      </c>
      <c r="E4" s="29" t="s">
        <v>50</v>
      </c>
      <c r="F4" s="29" t="s">
        <v>7</v>
      </c>
    </row>
    <row r="5" spans="1:6" ht="30" customHeight="1" thickBot="1">
      <c r="A5" s="30" t="s">
        <v>51</v>
      </c>
      <c r="B5" s="31" t="s">
        <v>52</v>
      </c>
      <c r="C5" s="32"/>
      <c r="D5" s="32"/>
      <c r="E5" s="32"/>
      <c r="F5" s="32"/>
    </row>
    <row r="6" spans="1:6" ht="30" customHeight="1" thickBot="1">
      <c r="A6" s="33">
        <v>1</v>
      </c>
      <c r="B6" s="34" t="s">
        <v>53</v>
      </c>
      <c r="C6" s="35">
        <v>2</v>
      </c>
      <c r="D6" s="32">
        <v>3</v>
      </c>
      <c r="E6" s="32">
        <f>C6*D6</f>
        <v>6</v>
      </c>
      <c r="F6" s="32"/>
    </row>
    <row r="7" spans="1:6" ht="34.75" customHeight="1" thickBot="1">
      <c r="A7" s="33">
        <v>2</v>
      </c>
      <c r="B7" s="34" t="s">
        <v>54</v>
      </c>
      <c r="C7" s="35">
        <v>1</v>
      </c>
      <c r="D7" s="32">
        <v>3</v>
      </c>
      <c r="E7" s="32">
        <f t="shared" ref="E7:E18" si="0">C7*D7</f>
        <v>3</v>
      </c>
      <c r="F7" s="32"/>
    </row>
    <row r="8" spans="1:6" ht="30" customHeight="1" thickBot="1">
      <c r="A8" s="33">
        <v>3</v>
      </c>
      <c r="B8" s="34" t="s">
        <v>55</v>
      </c>
      <c r="C8" s="35">
        <v>1</v>
      </c>
      <c r="D8" s="32">
        <v>3</v>
      </c>
      <c r="E8" s="32">
        <f t="shared" si="0"/>
        <v>3</v>
      </c>
      <c r="F8" s="32"/>
    </row>
    <row r="9" spans="1:6" ht="30" customHeight="1" thickBot="1">
      <c r="A9" s="33">
        <v>4</v>
      </c>
      <c r="B9" s="34" t="s">
        <v>56</v>
      </c>
      <c r="C9" s="35">
        <v>1</v>
      </c>
      <c r="D9" s="32">
        <v>3</v>
      </c>
      <c r="E9" s="32">
        <f t="shared" si="0"/>
        <v>3</v>
      </c>
      <c r="F9" s="32"/>
    </row>
    <row r="10" spans="1:6" ht="30" customHeight="1" thickBot="1">
      <c r="A10" s="33">
        <v>5</v>
      </c>
      <c r="B10" s="34" t="s">
        <v>57</v>
      </c>
      <c r="C10" s="35">
        <v>1</v>
      </c>
      <c r="D10" s="32">
        <v>2</v>
      </c>
      <c r="E10" s="32">
        <f t="shared" si="0"/>
        <v>2</v>
      </c>
      <c r="F10" s="32"/>
    </row>
    <row r="11" spans="1:6" ht="30" customHeight="1" thickBot="1">
      <c r="A11" s="33">
        <v>6</v>
      </c>
      <c r="B11" s="34" t="s">
        <v>58</v>
      </c>
      <c r="C11" s="35">
        <v>0.5</v>
      </c>
      <c r="D11" s="32">
        <v>2</v>
      </c>
      <c r="E11" s="32">
        <v>1</v>
      </c>
      <c r="F11" s="32"/>
    </row>
    <row r="12" spans="1:6" ht="30" customHeight="1" thickBot="1">
      <c r="A12" s="33">
        <v>7</v>
      </c>
      <c r="B12" s="34" t="s">
        <v>60</v>
      </c>
      <c r="C12" s="35">
        <v>0.5</v>
      </c>
      <c r="D12" s="32">
        <v>3</v>
      </c>
      <c r="E12" s="32">
        <v>1.5</v>
      </c>
      <c r="F12" s="32"/>
    </row>
    <row r="13" spans="1:6" ht="30" customHeight="1" thickBot="1">
      <c r="A13" s="33">
        <v>8</v>
      </c>
      <c r="B13" s="34" t="s">
        <v>61</v>
      </c>
      <c r="C13" s="35">
        <v>2</v>
      </c>
      <c r="D13" s="32">
        <v>2</v>
      </c>
      <c r="E13" s="32">
        <f t="shared" si="0"/>
        <v>4</v>
      </c>
      <c r="F13" s="32"/>
    </row>
    <row r="14" spans="1:6" ht="30" customHeight="1" thickBot="1">
      <c r="A14" s="33">
        <v>9</v>
      </c>
      <c r="B14" s="34" t="s">
        <v>62</v>
      </c>
      <c r="C14" s="35">
        <v>1</v>
      </c>
      <c r="D14" s="32">
        <v>3</v>
      </c>
      <c r="E14" s="32">
        <f t="shared" si="0"/>
        <v>3</v>
      </c>
      <c r="F14" s="32"/>
    </row>
    <row r="15" spans="1:6" ht="30" customHeight="1" thickBot="1">
      <c r="A15" s="33">
        <v>10</v>
      </c>
      <c r="B15" s="34" t="s">
        <v>63</v>
      </c>
      <c r="C15" s="35">
        <v>1</v>
      </c>
      <c r="D15" s="32">
        <v>3</v>
      </c>
      <c r="E15" s="32">
        <f t="shared" si="0"/>
        <v>3</v>
      </c>
      <c r="F15" s="32"/>
    </row>
    <row r="16" spans="1:6" ht="30" customHeight="1" thickBot="1">
      <c r="A16" s="33">
        <v>11</v>
      </c>
      <c r="B16" s="34" t="s">
        <v>64</v>
      </c>
      <c r="C16" s="35">
        <v>1</v>
      </c>
      <c r="D16" s="32">
        <v>3</v>
      </c>
      <c r="E16" s="32">
        <f t="shared" si="0"/>
        <v>3</v>
      </c>
      <c r="F16" s="32"/>
    </row>
    <row r="17" spans="1:6" ht="37.25" customHeight="1" thickBot="1">
      <c r="A17" s="33">
        <v>12</v>
      </c>
      <c r="B17" s="34" t="s">
        <v>65</v>
      </c>
      <c r="C17" s="35">
        <v>1</v>
      </c>
      <c r="D17" s="32">
        <v>2</v>
      </c>
      <c r="E17" s="32">
        <f t="shared" si="0"/>
        <v>2</v>
      </c>
      <c r="F17" s="32"/>
    </row>
    <row r="18" spans="1:6" ht="40.25" customHeight="1" thickBot="1">
      <c r="A18" s="33">
        <v>13</v>
      </c>
      <c r="B18" s="34" t="s">
        <v>66</v>
      </c>
      <c r="C18" s="35">
        <v>1</v>
      </c>
      <c r="D18" s="32">
        <v>2</v>
      </c>
      <c r="E18" s="32">
        <f t="shared" si="0"/>
        <v>2</v>
      </c>
      <c r="F18" s="32"/>
    </row>
    <row r="19" spans="1:6" ht="39" customHeight="1" thickBot="1">
      <c r="A19" s="30" t="s">
        <v>67</v>
      </c>
      <c r="B19" s="36" t="s">
        <v>68</v>
      </c>
      <c r="C19" s="34">
        <v>0.98499999999999999</v>
      </c>
      <c r="D19" s="34"/>
      <c r="E19" s="34">
        <v>0.98499999999999999</v>
      </c>
      <c r="F19" s="34"/>
    </row>
  </sheetData>
  <mergeCells count="2">
    <mergeCell ref="A2:F2"/>
    <mergeCell ref="A1:F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73780-6452-4219-ACFE-427B3F56F059}">
  <dimension ref="A1:C50"/>
  <sheetViews>
    <sheetView topLeftCell="A39" workbookViewId="0">
      <selection activeCell="E44" sqref="E44"/>
    </sheetView>
  </sheetViews>
  <sheetFormatPr defaultRowHeight="14.5"/>
  <cols>
    <col min="2" max="2" width="31.54296875" customWidth="1"/>
    <col min="3" max="3" width="36.453125" customWidth="1"/>
  </cols>
  <sheetData>
    <row r="1" spans="1:3" ht="17.5">
      <c r="A1" s="2" t="s">
        <v>69</v>
      </c>
    </row>
    <row r="2" spans="1:3" ht="17.5">
      <c r="A2" s="52" t="s">
        <v>200</v>
      </c>
      <c r="B2" s="52"/>
      <c r="C2" s="52"/>
    </row>
    <row r="3" spans="1:3" ht="17.5">
      <c r="A3" s="52" t="s">
        <v>70</v>
      </c>
      <c r="B3" s="52"/>
      <c r="C3" s="52"/>
    </row>
    <row r="4" spans="1:3" ht="18" thickBot="1">
      <c r="A4" s="2"/>
    </row>
    <row r="5" spans="1:3" ht="17" thickBot="1">
      <c r="A5" s="28" t="s">
        <v>4</v>
      </c>
      <c r="B5" s="29" t="s">
        <v>71</v>
      </c>
      <c r="C5" s="29" t="s">
        <v>72</v>
      </c>
    </row>
    <row r="6" spans="1:3" ht="17" thickBot="1">
      <c r="A6" s="30">
        <v>1</v>
      </c>
      <c r="B6" s="36" t="s">
        <v>73</v>
      </c>
      <c r="C6" s="37"/>
    </row>
    <row r="7" spans="1:3" ht="17" thickBot="1">
      <c r="A7" s="38"/>
      <c r="B7" s="34" t="s">
        <v>74</v>
      </c>
      <c r="C7" s="37">
        <v>3</v>
      </c>
    </row>
    <row r="8" spans="1:3" ht="17" thickBot="1">
      <c r="A8" s="38"/>
      <c r="B8" s="34" t="s">
        <v>75</v>
      </c>
      <c r="C8" s="37">
        <v>2</v>
      </c>
    </row>
    <row r="9" spans="1:3" ht="17" thickBot="1">
      <c r="A9" s="38"/>
      <c r="B9" s="34" t="s">
        <v>76</v>
      </c>
      <c r="C9" s="37">
        <v>3</v>
      </c>
    </row>
    <row r="10" spans="1:3" ht="17" thickBot="1">
      <c r="A10" s="38"/>
      <c r="B10" s="34" t="s">
        <v>77</v>
      </c>
      <c r="C10" s="37">
        <v>2</v>
      </c>
    </row>
    <row r="11" spans="1:3" ht="17" thickBot="1">
      <c r="A11" s="38"/>
      <c r="B11" s="34" t="s">
        <v>78</v>
      </c>
      <c r="C11" s="37">
        <v>1</v>
      </c>
    </row>
    <row r="12" spans="1:3" ht="17" thickBot="1">
      <c r="A12" s="38"/>
      <c r="B12" s="34" t="s">
        <v>79</v>
      </c>
      <c r="C12" s="37">
        <v>0</v>
      </c>
    </row>
    <row r="13" spans="1:3" ht="17" thickBot="1">
      <c r="A13" s="38"/>
      <c r="B13" s="34" t="s">
        <v>80</v>
      </c>
      <c r="C13" s="37">
        <v>2</v>
      </c>
    </row>
    <row r="14" spans="1:3" ht="17" thickBot="1">
      <c r="A14" s="38"/>
      <c r="B14" s="34" t="s">
        <v>81</v>
      </c>
      <c r="C14" s="37">
        <v>1</v>
      </c>
    </row>
    <row r="15" spans="1:3" ht="17" thickBot="1">
      <c r="A15" s="38"/>
      <c r="B15" s="34" t="s">
        <v>82</v>
      </c>
      <c r="C15" s="37">
        <v>0</v>
      </c>
    </row>
    <row r="16" spans="1:3" ht="17" thickBot="1">
      <c r="A16" s="38"/>
      <c r="B16" s="34" t="s">
        <v>83</v>
      </c>
      <c r="C16" s="37">
        <v>0</v>
      </c>
    </row>
    <row r="17" spans="1:3" ht="17" thickBot="1">
      <c r="A17" s="38"/>
      <c r="B17" s="34" t="s">
        <v>84</v>
      </c>
      <c r="C17" s="37">
        <v>2</v>
      </c>
    </row>
    <row r="18" spans="1:3" ht="17" thickBot="1">
      <c r="A18" s="38"/>
      <c r="B18" s="34" t="s">
        <v>85</v>
      </c>
      <c r="C18" s="37">
        <v>0</v>
      </c>
    </row>
    <row r="19" spans="1:3" ht="17" thickBot="1">
      <c r="A19" s="38"/>
      <c r="B19" s="34" t="s">
        <v>8</v>
      </c>
      <c r="C19" s="37"/>
    </row>
    <row r="20" spans="1:3" ht="17" thickBot="1">
      <c r="A20" s="30">
        <v>2</v>
      </c>
      <c r="B20" s="36" t="s">
        <v>86</v>
      </c>
      <c r="C20" s="37"/>
    </row>
    <row r="21" spans="1:3" ht="17" thickBot="1">
      <c r="A21" s="38"/>
      <c r="B21" s="34" t="s">
        <v>87</v>
      </c>
      <c r="C21" s="37">
        <v>0</v>
      </c>
    </row>
    <row r="22" spans="1:3" ht="17" thickBot="1">
      <c r="A22" s="38"/>
      <c r="B22" s="34" t="s">
        <v>88</v>
      </c>
      <c r="C22" s="37">
        <v>1</v>
      </c>
    </row>
    <row r="23" spans="1:3" ht="17" thickBot="1">
      <c r="A23" s="38"/>
      <c r="B23" s="34" t="s">
        <v>89</v>
      </c>
      <c r="C23" s="37">
        <v>2</v>
      </c>
    </row>
    <row r="24" spans="1:3" ht="17" thickBot="1">
      <c r="A24" s="38"/>
      <c r="B24" s="34" t="s">
        <v>90</v>
      </c>
      <c r="C24" s="37">
        <v>0</v>
      </c>
    </row>
    <row r="25" spans="1:3" ht="17" thickBot="1">
      <c r="A25" s="38"/>
      <c r="B25" s="34" t="s">
        <v>91</v>
      </c>
      <c r="C25" s="37">
        <v>3</v>
      </c>
    </row>
    <row r="26" spans="1:3" ht="17" thickBot="1">
      <c r="A26" s="38"/>
      <c r="B26" s="34" t="s">
        <v>92</v>
      </c>
      <c r="C26" s="37">
        <v>1</v>
      </c>
    </row>
    <row r="27" spans="1:3" ht="17" thickBot="1">
      <c r="A27" s="38"/>
      <c r="B27" s="34" t="s">
        <v>93</v>
      </c>
      <c r="C27" s="37">
        <v>1</v>
      </c>
    </row>
    <row r="28" spans="1:3" ht="17" thickBot="1">
      <c r="A28" s="38"/>
      <c r="B28" s="34" t="s">
        <v>94</v>
      </c>
      <c r="C28" s="37">
        <v>0</v>
      </c>
    </row>
    <row r="29" spans="1:3" ht="17" thickBot="1">
      <c r="A29" s="38"/>
      <c r="B29" s="34" t="s">
        <v>95</v>
      </c>
      <c r="C29" s="37">
        <v>4</v>
      </c>
    </row>
    <row r="30" spans="1:3" ht="17" thickBot="1">
      <c r="A30" s="38"/>
      <c r="B30" s="34" t="s">
        <v>96</v>
      </c>
      <c r="C30" s="37">
        <v>4</v>
      </c>
    </row>
    <row r="31" spans="1:3" ht="17" thickBot="1">
      <c r="A31" s="38"/>
      <c r="B31" s="34" t="s">
        <v>97</v>
      </c>
      <c r="C31" s="37">
        <v>2</v>
      </c>
    </row>
    <row r="32" spans="1:3" ht="17" thickBot="1">
      <c r="A32" s="38"/>
      <c r="B32" s="34" t="s">
        <v>98</v>
      </c>
      <c r="C32" s="37">
        <v>2</v>
      </c>
    </row>
    <row r="33" spans="1:3" ht="17" thickBot="1">
      <c r="A33" s="38"/>
      <c r="B33" s="34" t="s">
        <v>99</v>
      </c>
      <c r="C33" s="37">
        <v>2</v>
      </c>
    </row>
    <row r="34" spans="1:3" ht="17" thickBot="1">
      <c r="A34" s="38"/>
      <c r="B34" s="34" t="s">
        <v>100</v>
      </c>
      <c r="C34" s="37">
        <v>0</v>
      </c>
    </row>
    <row r="35" spans="1:3" ht="17" thickBot="1">
      <c r="A35" s="38"/>
      <c r="B35" s="34" t="s">
        <v>101</v>
      </c>
      <c r="C35" s="37">
        <v>0</v>
      </c>
    </row>
    <row r="36" spans="1:3" ht="17" thickBot="1">
      <c r="A36" s="38"/>
      <c r="B36" s="34" t="s">
        <v>102</v>
      </c>
      <c r="C36" s="37">
        <v>0</v>
      </c>
    </row>
    <row r="37" spans="1:3" ht="17" thickBot="1">
      <c r="A37" s="38"/>
      <c r="B37" s="34" t="s">
        <v>103</v>
      </c>
      <c r="C37" s="37">
        <v>0</v>
      </c>
    </row>
    <row r="38" spans="1:3" ht="17" thickBot="1">
      <c r="A38" s="38"/>
      <c r="B38" s="34" t="s">
        <v>104</v>
      </c>
      <c r="C38" s="37">
        <v>0</v>
      </c>
    </row>
    <row r="39" spans="1:3" ht="17" thickBot="1">
      <c r="A39" s="38"/>
      <c r="B39" s="34" t="s">
        <v>105</v>
      </c>
      <c r="C39" s="37">
        <v>2</v>
      </c>
    </row>
    <row r="40" spans="1:3" ht="17" thickBot="1">
      <c r="A40" s="38"/>
      <c r="B40" s="34" t="s">
        <v>106</v>
      </c>
      <c r="C40" s="37">
        <v>1</v>
      </c>
    </row>
    <row r="41" spans="1:3" ht="17" thickBot="1">
      <c r="A41" s="38"/>
      <c r="B41" s="34" t="s">
        <v>107</v>
      </c>
      <c r="C41" s="37">
        <v>4</v>
      </c>
    </row>
    <row r="42" spans="1:3" ht="17" thickBot="1">
      <c r="A42" s="38"/>
      <c r="B42" s="34" t="s">
        <v>108</v>
      </c>
      <c r="C42" s="37">
        <v>2</v>
      </c>
    </row>
    <row r="43" spans="1:3" ht="17" thickBot="1">
      <c r="A43" s="38"/>
      <c r="B43" s="34" t="s">
        <v>8</v>
      </c>
      <c r="C43" s="37"/>
    </row>
    <row r="44" spans="1:3" ht="58.75" customHeight="1" thickBot="1">
      <c r="A44" s="30">
        <v>3</v>
      </c>
      <c r="B44" s="36" t="s">
        <v>109</v>
      </c>
      <c r="C44" s="37"/>
    </row>
    <row r="45" spans="1:3" ht="118.25" customHeight="1" thickBot="1">
      <c r="A45" s="38"/>
      <c r="B45" s="34" t="s">
        <v>110</v>
      </c>
      <c r="C45" s="37">
        <v>2</v>
      </c>
    </row>
    <row r="46" spans="1:3" ht="64.75" customHeight="1" thickBot="1">
      <c r="A46" s="38"/>
      <c r="B46" s="34" t="s">
        <v>111</v>
      </c>
      <c r="C46" s="37">
        <v>2</v>
      </c>
    </row>
    <row r="47" spans="1:3" ht="57" customHeight="1" thickBot="1">
      <c r="A47" s="38"/>
      <c r="B47" s="34" t="s">
        <v>112</v>
      </c>
      <c r="C47" s="37">
        <v>3</v>
      </c>
    </row>
    <row r="48" spans="1:3" ht="46.25" customHeight="1" thickBot="1">
      <c r="A48" s="38"/>
      <c r="B48" s="34" t="s">
        <v>113</v>
      </c>
      <c r="C48" s="37">
        <v>2</v>
      </c>
    </row>
    <row r="49" spans="1:3" ht="36.65" customHeight="1" thickBot="1">
      <c r="A49" s="38"/>
      <c r="B49" s="34" t="s">
        <v>114</v>
      </c>
      <c r="C49" s="37">
        <v>3</v>
      </c>
    </row>
    <row r="50" spans="1:3" ht="38.4" customHeight="1" thickBot="1">
      <c r="A50" s="30">
        <v>4</v>
      </c>
      <c r="B50" s="36" t="s">
        <v>115</v>
      </c>
      <c r="C50" s="37"/>
    </row>
  </sheetData>
  <mergeCells count="2">
    <mergeCell ref="A2:C2"/>
    <mergeCell ref="A3:C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7EA16-2A46-4E50-8A01-E730EDBE5218}">
  <dimension ref="A1:M16"/>
  <sheetViews>
    <sheetView topLeftCell="A9" workbookViewId="0">
      <selection activeCell="I16" sqref="I16"/>
    </sheetView>
  </sheetViews>
  <sheetFormatPr defaultRowHeight="14.5"/>
  <cols>
    <col min="2" max="2" width="48.453125" customWidth="1"/>
    <col min="5" max="5" width="10.6328125" bestFit="1" customWidth="1"/>
    <col min="10" max="10" width="21.6328125" customWidth="1"/>
    <col min="13" max="13" width="16" customWidth="1"/>
  </cols>
  <sheetData>
    <row r="1" spans="1:13" ht="18" thickBot="1">
      <c r="A1" s="52" t="s">
        <v>116</v>
      </c>
      <c r="B1" s="52"/>
      <c r="C1" s="52"/>
      <c r="D1" s="52"/>
      <c r="E1" s="52"/>
      <c r="F1" s="52"/>
      <c r="G1" s="52"/>
      <c r="H1" s="52"/>
    </row>
    <row r="2" spans="1:13" ht="88" thickBot="1">
      <c r="A2" s="17" t="s">
        <v>4</v>
      </c>
      <c r="B2" s="11" t="s">
        <v>117</v>
      </c>
      <c r="C2" s="11" t="s">
        <v>29</v>
      </c>
      <c r="D2" s="11" t="s">
        <v>49</v>
      </c>
      <c r="E2" s="11" t="s">
        <v>50</v>
      </c>
      <c r="F2" s="11" t="s">
        <v>118</v>
      </c>
    </row>
    <row r="3" spans="1:13" ht="55.75" customHeight="1" thickBot="1">
      <c r="A3" s="30" t="s">
        <v>51</v>
      </c>
      <c r="B3" s="31" t="s">
        <v>119</v>
      </c>
      <c r="C3" s="31"/>
      <c r="D3" s="31"/>
      <c r="E3" s="31"/>
      <c r="F3" s="31"/>
      <c r="I3" s="41" t="s">
        <v>145</v>
      </c>
      <c r="J3" s="5" t="s">
        <v>146</v>
      </c>
      <c r="L3" s="4" t="s">
        <v>152</v>
      </c>
      <c r="M3" s="5" t="s">
        <v>153</v>
      </c>
    </row>
    <row r="4" spans="1:13" ht="24.65" customHeight="1" thickBot="1">
      <c r="A4" s="33"/>
      <c r="B4" s="32" t="s">
        <v>120</v>
      </c>
      <c r="C4" s="32"/>
      <c r="D4" s="32"/>
      <c r="E4" s="32"/>
      <c r="F4" s="32"/>
      <c r="I4" s="6" t="s">
        <v>147</v>
      </c>
      <c r="J4" s="21">
        <v>0</v>
      </c>
      <c r="L4" s="6" t="s">
        <v>154</v>
      </c>
      <c r="M4" s="42">
        <v>48</v>
      </c>
    </row>
    <row r="5" spans="1:13" ht="46.75" customHeight="1" thickBot="1">
      <c r="A5" s="33">
        <v>1</v>
      </c>
      <c r="B5" s="34" t="s">
        <v>110</v>
      </c>
      <c r="C5" s="39" t="s">
        <v>45</v>
      </c>
      <c r="D5" s="32">
        <v>2</v>
      </c>
      <c r="E5" s="32">
        <v>3</v>
      </c>
      <c r="F5" s="32"/>
      <c r="I5" s="6" t="s">
        <v>148</v>
      </c>
      <c r="J5" s="21">
        <v>0.05</v>
      </c>
      <c r="L5" s="6" t="s">
        <v>155</v>
      </c>
      <c r="M5" s="42">
        <v>32</v>
      </c>
    </row>
    <row r="6" spans="1:13" ht="31.75" customHeight="1" thickBot="1">
      <c r="A6" s="33">
        <v>2</v>
      </c>
      <c r="B6" s="34" t="s">
        <v>111</v>
      </c>
      <c r="C6" s="39" t="s">
        <v>59</v>
      </c>
      <c r="D6" s="32">
        <v>2</v>
      </c>
      <c r="E6" s="32">
        <v>1</v>
      </c>
      <c r="F6" s="32"/>
      <c r="I6" s="6" t="s">
        <v>149</v>
      </c>
      <c r="J6" s="21">
        <v>0.1</v>
      </c>
      <c r="L6" s="6" t="s">
        <v>156</v>
      </c>
      <c r="M6" s="42">
        <v>20</v>
      </c>
    </row>
    <row r="7" spans="1:13" ht="27" customHeight="1" thickBot="1">
      <c r="A7" s="33">
        <v>3</v>
      </c>
      <c r="B7" s="34" t="s">
        <v>112</v>
      </c>
      <c r="C7" s="39">
        <v>1</v>
      </c>
      <c r="D7" s="32">
        <v>3</v>
      </c>
      <c r="E7" s="32">
        <f t="shared" ref="E7:E9" si="0">C7*D7</f>
        <v>3</v>
      </c>
      <c r="F7" s="32"/>
      <c r="I7" s="6" t="s">
        <v>150</v>
      </c>
      <c r="J7" s="21">
        <v>0.6</v>
      </c>
    </row>
    <row r="8" spans="1:13" ht="24" customHeight="1" thickBot="1">
      <c r="A8" s="33">
        <v>4</v>
      </c>
      <c r="B8" s="32" t="s">
        <v>113</v>
      </c>
      <c r="C8" s="39" t="s">
        <v>59</v>
      </c>
      <c r="D8" s="32">
        <v>2</v>
      </c>
      <c r="E8" s="32">
        <v>1</v>
      </c>
      <c r="F8" s="32"/>
      <c r="I8" s="6" t="s">
        <v>151</v>
      </c>
      <c r="J8" s="21">
        <v>1</v>
      </c>
    </row>
    <row r="9" spans="1:13" ht="46.75" customHeight="1" thickBot="1">
      <c r="A9" s="33">
        <v>5</v>
      </c>
      <c r="B9" s="32" t="s">
        <v>121</v>
      </c>
      <c r="C9" s="39">
        <v>1</v>
      </c>
      <c r="D9" s="32">
        <v>3</v>
      </c>
      <c r="E9" s="32">
        <f t="shared" si="0"/>
        <v>3</v>
      </c>
      <c r="F9" s="32"/>
    </row>
    <row r="10" spans="1:13" ht="46.75" customHeight="1" thickBot="1">
      <c r="A10" s="33"/>
      <c r="B10" s="32" t="s">
        <v>122</v>
      </c>
      <c r="C10" s="35"/>
      <c r="D10" s="32"/>
      <c r="E10" s="32"/>
      <c r="F10" s="32"/>
    </row>
    <row r="11" spans="1:13" ht="46.75" customHeight="1" thickBot="1">
      <c r="A11" s="33">
        <v>6</v>
      </c>
      <c r="B11" s="32" t="s">
        <v>123</v>
      </c>
      <c r="C11" s="39">
        <v>2</v>
      </c>
      <c r="D11" s="32">
        <v>3</v>
      </c>
      <c r="E11" s="32">
        <v>6</v>
      </c>
      <c r="F11" s="32"/>
    </row>
    <row r="12" spans="1:13" ht="46.75" customHeight="1" thickBot="1">
      <c r="A12" s="33">
        <v>7</v>
      </c>
      <c r="B12" s="32" t="s">
        <v>124</v>
      </c>
      <c r="C12" s="39">
        <v>-1</v>
      </c>
      <c r="D12" s="32">
        <v>1</v>
      </c>
      <c r="E12" s="32">
        <v>-1</v>
      </c>
      <c r="F12" s="32"/>
    </row>
    <row r="13" spans="1:13" ht="46.75" customHeight="1" thickBot="1">
      <c r="A13" s="33">
        <v>8</v>
      </c>
      <c r="B13" s="32" t="s">
        <v>125</v>
      </c>
      <c r="C13" s="39">
        <v>-1</v>
      </c>
      <c r="D13" s="32">
        <v>1</v>
      </c>
      <c r="E13" s="32">
        <v>-1</v>
      </c>
      <c r="F13" s="32"/>
    </row>
    <row r="14" spans="1:13" ht="46.75" customHeight="1" thickBot="1">
      <c r="A14" s="30" t="s">
        <v>67</v>
      </c>
      <c r="B14" s="36" t="s">
        <v>126</v>
      </c>
      <c r="C14" s="32"/>
      <c r="D14" s="32"/>
      <c r="E14" s="32">
        <v>0.95</v>
      </c>
      <c r="F14" s="32"/>
    </row>
    <row r="15" spans="1:13" ht="46.75" customHeight="1" thickBot="1">
      <c r="A15" s="30" t="s">
        <v>127</v>
      </c>
      <c r="B15" s="31" t="s">
        <v>128</v>
      </c>
      <c r="C15" s="32"/>
      <c r="D15" s="32"/>
      <c r="E15" s="32">
        <v>1</v>
      </c>
      <c r="F15" s="32"/>
    </row>
    <row r="16" spans="1:13" ht="46.75" customHeight="1" thickBot="1">
      <c r="A16" s="30" t="s">
        <v>129</v>
      </c>
      <c r="B16" s="31" t="s">
        <v>130</v>
      </c>
      <c r="C16" s="32"/>
      <c r="D16" s="32"/>
      <c r="E16" s="32">
        <v>32</v>
      </c>
      <c r="F16" s="32"/>
    </row>
  </sheetData>
  <mergeCells count="1">
    <mergeCell ref="A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4C681-5CB0-4A4E-9447-B3F8CBA56C55}">
  <dimension ref="A1:J14"/>
  <sheetViews>
    <sheetView tabSelected="1" workbookViewId="0">
      <selection activeCell="G24" sqref="G24"/>
    </sheetView>
  </sheetViews>
  <sheetFormatPr defaultRowHeight="14.5"/>
  <cols>
    <col min="4" max="4" width="21.81640625" customWidth="1"/>
    <col min="5" max="5" width="19.54296875" customWidth="1"/>
    <col min="6" max="6" width="14.453125" customWidth="1"/>
    <col min="7" max="7" width="23" customWidth="1"/>
    <col min="8" max="8" width="13.453125" customWidth="1"/>
    <col min="9" max="9" width="22.08984375" customWidth="1"/>
    <col min="10" max="10" width="15.453125" customWidth="1"/>
  </cols>
  <sheetData>
    <row r="1" spans="1:10" ht="15.5">
      <c r="A1" s="78" t="s">
        <v>131</v>
      </c>
      <c r="B1" s="79"/>
      <c r="C1" s="79"/>
      <c r="D1" s="79"/>
      <c r="E1" s="79"/>
      <c r="F1" s="79"/>
      <c r="G1" s="79"/>
      <c r="H1" s="79"/>
      <c r="I1" s="79"/>
      <c r="J1" s="79"/>
    </row>
    <row r="2" spans="1:10" ht="15.5">
      <c r="A2" s="80" t="s">
        <v>132</v>
      </c>
      <c r="B2" s="80"/>
      <c r="C2" s="80"/>
      <c r="D2" s="40">
        <v>1490000</v>
      </c>
      <c r="E2" s="81" t="s">
        <v>133</v>
      </c>
      <c r="F2" s="81">
        <v>20</v>
      </c>
      <c r="G2" s="81"/>
      <c r="H2" s="81"/>
      <c r="I2" s="81"/>
      <c r="J2" s="81"/>
    </row>
    <row r="3" spans="1:10" ht="16" thickBot="1">
      <c r="A3" s="80" t="s">
        <v>134</v>
      </c>
      <c r="B3" s="80"/>
      <c r="C3" s="80"/>
      <c r="D3" s="82">
        <v>0.34499999999999997</v>
      </c>
      <c r="E3" s="81" t="s">
        <v>135</v>
      </c>
      <c r="F3" s="81">
        <v>8</v>
      </c>
      <c r="G3" s="81"/>
      <c r="H3" s="81"/>
      <c r="I3" s="81"/>
      <c r="J3" s="83" t="s">
        <v>136</v>
      </c>
    </row>
    <row r="4" spans="1:10" ht="16" thickBot="1">
      <c r="A4" s="84" t="s">
        <v>4</v>
      </c>
      <c r="B4" s="85" t="s">
        <v>137</v>
      </c>
      <c r="C4" s="85" t="s">
        <v>138</v>
      </c>
      <c r="D4" s="85" t="s">
        <v>199</v>
      </c>
      <c r="E4" s="85" t="s">
        <v>139</v>
      </c>
      <c r="F4" s="85" t="s">
        <v>140</v>
      </c>
      <c r="G4" s="85" t="s">
        <v>141</v>
      </c>
      <c r="H4" s="85" t="s">
        <v>142</v>
      </c>
      <c r="I4" s="85" t="s">
        <v>143</v>
      </c>
      <c r="J4" s="85" t="s">
        <v>144</v>
      </c>
    </row>
    <row r="5" spans="1:10" ht="16" thickBot="1">
      <c r="A5" s="86">
        <v>1</v>
      </c>
      <c r="B5" s="86">
        <v>1</v>
      </c>
      <c r="C5" s="86">
        <v>2.34</v>
      </c>
      <c r="D5" s="87">
        <v>3486.6</v>
      </c>
      <c r="E5" s="87">
        <f>D5*12%</f>
        <v>418.392</v>
      </c>
      <c r="F5" s="87">
        <f>D5*4%</f>
        <v>139.464</v>
      </c>
      <c r="G5" s="87">
        <f>D5*34.5%</f>
        <v>1202.877</v>
      </c>
      <c r="H5" s="87">
        <f>SUM(D5:G5)</f>
        <v>5247.3329999999996</v>
      </c>
      <c r="I5" s="87">
        <f>H5/20</f>
        <v>262.36664999999999</v>
      </c>
      <c r="J5" s="87">
        <f>I5/8</f>
        <v>32.795831249999999</v>
      </c>
    </row>
    <row r="6" spans="1:10" ht="16" thickBot="1">
      <c r="A6" s="86">
        <v>2</v>
      </c>
      <c r="B6" s="86">
        <v>2</v>
      </c>
      <c r="C6" s="86">
        <v>2.67</v>
      </c>
      <c r="D6" s="87">
        <v>3978.3</v>
      </c>
      <c r="E6" s="87">
        <f t="shared" ref="E6:E13" si="0">D6*12%</f>
        <v>477.39600000000002</v>
      </c>
      <c r="F6" s="87">
        <f t="shared" ref="F6:F13" si="1">D6*4%</f>
        <v>159.13200000000001</v>
      </c>
      <c r="G6" s="87">
        <f t="shared" ref="G6:G13" si="2">D6*34.5%</f>
        <v>1372.5135</v>
      </c>
      <c r="H6" s="87">
        <f t="shared" ref="H6:H13" si="3">SUM(D6:G6)</f>
        <v>5987.3414999999995</v>
      </c>
      <c r="I6" s="87">
        <f t="shared" ref="I6:I13" si="4">H6/20</f>
        <v>299.367075</v>
      </c>
      <c r="J6" s="87">
        <f>I6/8</f>
        <v>37.420884375</v>
      </c>
    </row>
    <row r="7" spans="1:10" ht="16" thickBot="1">
      <c r="A7" s="88">
        <v>3</v>
      </c>
      <c r="B7" s="88">
        <v>3</v>
      </c>
      <c r="C7" s="88">
        <v>3</v>
      </c>
      <c r="D7" s="87">
        <v>4470</v>
      </c>
      <c r="E7" s="87">
        <f t="shared" si="0"/>
        <v>536.4</v>
      </c>
      <c r="F7" s="87">
        <f t="shared" si="1"/>
        <v>178.8</v>
      </c>
      <c r="G7" s="87">
        <f t="shared" si="2"/>
        <v>1542.1499999999999</v>
      </c>
      <c r="H7" s="87">
        <f t="shared" si="3"/>
        <v>6727.3499999999995</v>
      </c>
      <c r="I7" s="87">
        <f t="shared" si="4"/>
        <v>336.36749999999995</v>
      </c>
      <c r="J7" s="87">
        <f>I7/8</f>
        <v>42.045937499999994</v>
      </c>
    </row>
    <row r="8" spans="1:10" ht="16" thickBot="1">
      <c r="A8" s="86">
        <v>4</v>
      </c>
      <c r="B8" s="86">
        <v>4</v>
      </c>
      <c r="C8" s="86">
        <v>3.33</v>
      </c>
      <c r="D8" s="87">
        <v>4961.7</v>
      </c>
      <c r="E8" s="87">
        <f t="shared" si="0"/>
        <v>595.404</v>
      </c>
      <c r="F8" s="87">
        <f t="shared" si="1"/>
        <v>198.46799999999999</v>
      </c>
      <c r="G8" s="87">
        <f t="shared" si="2"/>
        <v>1711.7864999999997</v>
      </c>
      <c r="H8" s="87">
        <f t="shared" si="3"/>
        <v>7467.3584999999985</v>
      </c>
      <c r="I8" s="87">
        <f t="shared" si="4"/>
        <v>373.3679249999999</v>
      </c>
      <c r="J8" s="87">
        <f>I8/8</f>
        <v>46.670990624999988</v>
      </c>
    </row>
    <row r="9" spans="1:10" ht="16" thickBot="1">
      <c r="A9" s="86">
        <v>5</v>
      </c>
      <c r="B9" s="86">
        <v>5</v>
      </c>
      <c r="C9" s="86">
        <v>3.66</v>
      </c>
      <c r="D9" s="87">
        <v>5453.4</v>
      </c>
      <c r="E9" s="87">
        <f t="shared" si="0"/>
        <v>654.4079999999999</v>
      </c>
      <c r="F9" s="87">
        <f t="shared" si="1"/>
        <v>218.136</v>
      </c>
      <c r="G9" s="87">
        <f t="shared" si="2"/>
        <v>1881.4229999999998</v>
      </c>
      <c r="H9" s="87">
        <f t="shared" si="3"/>
        <v>8207.3669999999984</v>
      </c>
      <c r="I9" s="87">
        <f t="shared" si="4"/>
        <v>410.36834999999991</v>
      </c>
      <c r="J9" s="87">
        <f>I9/8</f>
        <v>51.296043749999988</v>
      </c>
    </row>
    <row r="10" spans="1:10" ht="16" thickBot="1">
      <c r="A10" s="86">
        <v>6</v>
      </c>
      <c r="B10" s="86">
        <v>6</v>
      </c>
      <c r="C10" s="86">
        <v>3.99</v>
      </c>
      <c r="D10" s="87">
        <v>5945.1</v>
      </c>
      <c r="E10" s="87">
        <f t="shared" si="0"/>
        <v>713.41200000000003</v>
      </c>
      <c r="F10" s="87">
        <f t="shared" si="1"/>
        <v>237.80400000000003</v>
      </c>
      <c r="G10" s="87">
        <f t="shared" si="2"/>
        <v>2051.0594999999998</v>
      </c>
      <c r="H10" s="87">
        <f t="shared" si="3"/>
        <v>8947.3755000000001</v>
      </c>
      <c r="I10" s="87">
        <f t="shared" si="4"/>
        <v>447.36877500000003</v>
      </c>
      <c r="J10" s="87">
        <f>I10/8</f>
        <v>55.921096875000003</v>
      </c>
    </row>
    <row r="11" spans="1:10" ht="16" thickBot="1">
      <c r="A11" s="86">
        <v>7</v>
      </c>
      <c r="B11" s="86">
        <v>7</v>
      </c>
      <c r="C11" s="86">
        <v>4.32</v>
      </c>
      <c r="D11" s="87">
        <v>6436.8</v>
      </c>
      <c r="E11" s="87">
        <f t="shared" si="0"/>
        <v>772.41599999999994</v>
      </c>
      <c r="F11" s="87">
        <f t="shared" si="1"/>
        <v>257.47200000000004</v>
      </c>
      <c r="G11" s="87">
        <f t="shared" si="2"/>
        <v>2220.6959999999999</v>
      </c>
      <c r="H11" s="87">
        <f t="shared" si="3"/>
        <v>9687.384</v>
      </c>
      <c r="I11" s="87">
        <f t="shared" si="4"/>
        <v>484.36919999999998</v>
      </c>
      <c r="J11" s="87">
        <f>I11/8</f>
        <v>60.546149999999997</v>
      </c>
    </row>
    <row r="12" spans="1:10" ht="16" thickBot="1">
      <c r="A12" s="86">
        <v>8</v>
      </c>
      <c r="B12" s="86">
        <v>8</v>
      </c>
      <c r="C12" s="89">
        <v>4.6500000000000004</v>
      </c>
      <c r="D12" s="87">
        <v>6928.5</v>
      </c>
      <c r="E12" s="87">
        <f t="shared" si="0"/>
        <v>831.42</v>
      </c>
      <c r="F12" s="87">
        <f t="shared" si="1"/>
        <v>277.14</v>
      </c>
      <c r="G12" s="87">
        <f t="shared" si="2"/>
        <v>2390.3325</v>
      </c>
      <c r="H12" s="87">
        <f t="shared" si="3"/>
        <v>10427.3925</v>
      </c>
      <c r="I12" s="87">
        <f t="shared" si="4"/>
        <v>521.36962500000004</v>
      </c>
      <c r="J12" s="87">
        <f>I12/8</f>
        <v>65.171203125000005</v>
      </c>
    </row>
    <row r="13" spans="1:10" ht="16.5" thickTop="1" thickBot="1">
      <c r="A13" s="86">
        <v>9</v>
      </c>
      <c r="B13" s="90">
        <v>9</v>
      </c>
      <c r="C13" s="91">
        <v>4.9800000000000004</v>
      </c>
      <c r="D13" s="92">
        <v>7420.2</v>
      </c>
      <c r="E13" s="87">
        <f t="shared" si="0"/>
        <v>890.42399999999998</v>
      </c>
      <c r="F13" s="87">
        <f t="shared" si="1"/>
        <v>296.80799999999999</v>
      </c>
      <c r="G13" s="87">
        <f t="shared" si="2"/>
        <v>2559.9689999999996</v>
      </c>
      <c r="H13" s="87">
        <f t="shared" si="3"/>
        <v>11167.401</v>
      </c>
      <c r="I13" s="87">
        <f t="shared" si="4"/>
        <v>558.37004999999999</v>
      </c>
      <c r="J13" s="87">
        <f>I13/8</f>
        <v>69.796256249999999</v>
      </c>
    </row>
    <row r="14" spans="1:10" ht="15.5">
      <c r="A14" s="81"/>
      <c r="B14" s="93"/>
      <c r="C14" s="93"/>
      <c r="D14" s="81"/>
      <c r="E14" s="81"/>
      <c r="F14" s="81"/>
      <c r="G14" s="81"/>
      <c r="H14" s="81"/>
      <c r="I14" s="81" t="s">
        <v>136</v>
      </c>
      <c r="J14" s="81">
        <f>J11</f>
        <v>60.546149999999997</v>
      </c>
    </row>
  </sheetData>
  <mergeCells count="3">
    <mergeCell ref="A1:J1"/>
    <mergeCell ref="A2:C2"/>
    <mergeCell ref="A3:C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526E0-528E-46AC-BC5A-E3295DB1756C}">
  <dimension ref="A1:E15"/>
  <sheetViews>
    <sheetView workbookViewId="0">
      <selection activeCell="D15" sqref="A4:E15"/>
    </sheetView>
  </sheetViews>
  <sheetFormatPr defaultRowHeight="14.5"/>
  <cols>
    <col min="2" max="2" width="39" customWidth="1"/>
    <col min="3" max="3" width="33.453125" customWidth="1"/>
    <col min="4" max="4" width="28.453125" customWidth="1"/>
    <col min="5" max="5" width="22" customWidth="1"/>
  </cols>
  <sheetData>
    <row r="1" spans="1:5" ht="17.5">
      <c r="A1" s="52" t="s">
        <v>157</v>
      </c>
      <c r="B1" s="52"/>
      <c r="C1" s="52"/>
      <c r="D1" s="52"/>
      <c r="E1" s="52"/>
    </row>
    <row r="2" spans="1:5" ht="17.5">
      <c r="A2" s="52" t="s">
        <v>200</v>
      </c>
      <c r="B2" s="52"/>
      <c r="C2" s="52"/>
      <c r="D2" s="52"/>
      <c r="E2" s="52"/>
    </row>
    <row r="3" spans="1:5" ht="18.5" thickBot="1">
      <c r="A3" s="8"/>
    </row>
    <row r="4" spans="1:5" ht="17.5" thickBot="1">
      <c r="A4" s="69" t="s">
        <v>4</v>
      </c>
      <c r="B4" s="70" t="s">
        <v>158</v>
      </c>
      <c r="C4" s="70" t="s">
        <v>159</v>
      </c>
      <c r="D4" s="70" t="s">
        <v>160</v>
      </c>
      <c r="E4" s="70" t="s">
        <v>7</v>
      </c>
    </row>
    <row r="5" spans="1:5" ht="30" customHeight="1" thickBot="1">
      <c r="A5" s="71" t="s">
        <v>51</v>
      </c>
      <c r="B5" s="72" t="s">
        <v>161</v>
      </c>
      <c r="C5" s="72"/>
      <c r="D5" s="72"/>
      <c r="E5" s="72"/>
    </row>
    <row r="6" spans="1:5" ht="30" customHeight="1" thickBot="1">
      <c r="A6" s="73">
        <v>1</v>
      </c>
      <c r="B6" s="74" t="s">
        <v>162</v>
      </c>
      <c r="C6" s="75" t="s">
        <v>163</v>
      </c>
      <c r="D6" s="74">
        <v>12</v>
      </c>
      <c r="E6" s="74" t="s">
        <v>230</v>
      </c>
    </row>
    <row r="7" spans="1:5" ht="30" customHeight="1" thickBot="1">
      <c r="A7" s="73">
        <v>2</v>
      </c>
      <c r="B7" s="74" t="s">
        <v>164</v>
      </c>
      <c r="C7" s="75" t="s">
        <v>165</v>
      </c>
      <c r="D7" s="74">
        <v>136</v>
      </c>
      <c r="E7" s="74" t="s">
        <v>231</v>
      </c>
    </row>
    <row r="8" spans="1:5" ht="30" customHeight="1" thickBot="1">
      <c r="A8" s="73">
        <v>3</v>
      </c>
      <c r="B8" s="74" t="s">
        <v>166</v>
      </c>
      <c r="C8" s="75" t="s">
        <v>167</v>
      </c>
      <c r="D8" s="74">
        <v>148</v>
      </c>
      <c r="E8" s="74" t="s">
        <v>232</v>
      </c>
    </row>
    <row r="9" spans="1:5" ht="30" customHeight="1" thickBot="1">
      <c r="A9" s="73">
        <v>4</v>
      </c>
      <c r="B9" s="74" t="s">
        <v>68</v>
      </c>
      <c r="C9" s="75" t="s">
        <v>168</v>
      </c>
      <c r="D9" s="74">
        <v>0.98499999999999999</v>
      </c>
      <c r="E9" s="74" t="s">
        <v>233</v>
      </c>
    </row>
    <row r="10" spans="1:5" ht="30" customHeight="1" thickBot="1">
      <c r="A10" s="73">
        <v>5</v>
      </c>
      <c r="B10" s="76" t="s">
        <v>126</v>
      </c>
      <c r="C10" s="75" t="s">
        <v>169</v>
      </c>
      <c r="D10" s="74">
        <v>0.95</v>
      </c>
      <c r="E10" s="74" t="s">
        <v>234</v>
      </c>
    </row>
    <row r="11" spans="1:5" ht="30" customHeight="1" thickBot="1">
      <c r="A11" s="73">
        <v>6</v>
      </c>
      <c r="B11" s="74" t="s">
        <v>170</v>
      </c>
      <c r="C11" s="75" t="s">
        <v>171</v>
      </c>
      <c r="D11" s="74">
        <v>138.6</v>
      </c>
      <c r="E11" s="74" t="s">
        <v>235</v>
      </c>
    </row>
    <row r="12" spans="1:5" ht="30" customHeight="1" thickBot="1">
      <c r="A12" s="71" t="s">
        <v>67</v>
      </c>
      <c r="B12" s="72" t="s">
        <v>130</v>
      </c>
      <c r="C12" s="75" t="s">
        <v>172</v>
      </c>
      <c r="D12" s="74">
        <v>32</v>
      </c>
      <c r="E12" s="74"/>
    </row>
    <row r="13" spans="1:5" ht="30" customHeight="1" thickBot="1">
      <c r="A13" s="71" t="s">
        <v>127</v>
      </c>
      <c r="B13" s="72" t="s">
        <v>173</v>
      </c>
      <c r="C13" s="75" t="s">
        <v>174</v>
      </c>
      <c r="D13" s="74">
        <v>231</v>
      </c>
      <c r="E13" s="74"/>
    </row>
    <row r="14" spans="1:5" ht="30" customHeight="1" thickBot="1">
      <c r="A14" s="71" t="s">
        <v>129</v>
      </c>
      <c r="B14" s="77" t="s">
        <v>175</v>
      </c>
      <c r="C14" s="75" t="s">
        <v>176</v>
      </c>
      <c r="D14" s="74">
        <v>42.045999999999999</v>
      </c>
      <c r="E14" s="74"/>
    </row>
    <row r="15" spans="1:5" ht="30" customHeight="1" thickBot="1">
      <c r="A15" s="71" t="s">
        <v>177</v>
      </c>
      <c r="B15" s="72" t="s">
        <v>178</v>
      </c>
      <c r="C15" s="75" t="s">
        <v>179</v>
      </c>
      <c r="D15" s="74">
        <f>1.4*231*32*D14</f>
        <v>435125.64479999995</v>
      </c>
      <c r="E15" s="74" t="s">
        <v>236</v>
      </c>
    </row>
  </sheetData>
  <mergeCells count="2">
    <mergeCell ref="A2:E2"/>
    <mergeCell ref="A1:E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624E0-1B4D-4C37-B81C-2D094703E1FA}">
  <dimension ref="A1:E14"/>
  <sheetViews>
    <sheetView workbookViewId="0">
      <selection activeCell="D18" sqref="D18"/>
    </sheetView>
  </sheetViews>
  <sheetFormatPr defaultRowHeight="14.5"/>
  <cols>
    <col min="2" max="2" width="40.90625" customWidth="1"/>
    <col min="3" max="3" width="27.6328125" customWidth="1"/>
    <col min="4" max="4" width="28.90625" customWidth="1"/>
    <col min="5" max="5" width="28.54296875" customWidth="1"/>
  </cols>
  <sheetData>
    <row r="1" spans="1:5" ht="17.5">
      <c r="A1" s="52" t="s">
        <v>180</v>
      </c>
      <c r="B1" s="52"/>
      <c r="C1" s="52"/>
      <c r="D1" s="52"/>
      <c r="E1" s="52"/>
    </row>
    <row r="2" spans="1:5" ht="18">
      <c r="A2" s="52" t="s">
        <v>200</v>
      </c>
      <c r="B2" s="52"/>
      <c r="C2" s="52"/>
      <c r="D2" s="52"/>
      <c r="E2" s="52"/>
    </row>
    <row r="3" spans="1:5" ht="18.5" thickBot="1">
      <c r="A3" s="45"/>
    </row>
    <row r="4" spans="1:5" ht="17.5" thickBot="1">
      <c r="A4" s="43" t="s">
        <v>4</v>
      </c>
      <c r="B4" s="44" t="s">
        <v>181</v>
      </c>
      <c r="C4" s="44" t="s">
        <v>182</v>
      </c>
      <c r="D4" s="44" t="s">
        <v>160</v>
      </c>
      <c r="E4" s="44" t="s">
        <v>183</v>
      </c>
    </row>
    <row r="5" spans="1:5" ht="36" customHeight="1" thickBot="1">
      <c r="A5" s="15">
        <v>1</v>
      </c>
      <c r="B5" s="46" t="s">
        <v>184</v>
      </c>
      <c r="C5" s="14" t="s">
        <v>185</v>
      </c>
      <c r="D5" s="68">
        <v>435125.46500000003</v>
      </c>
      <c r="E5" s="14" t="s">
        <v>186</v>
      </c>
    </row>
    <row r="6" spans="1:5" ht="21.65" customHeight="1" thickBot="1">
      <c r="A6" s="15">
        <v>2</v>
      </c>
      <c r="B6" s="46" t="s">
        <v>187</v>
      </c>
      <c r="C6" s="14" t="s">
        <v>188</v>
      </c>
      <c r="D6" s="68">
        <f>D5*B14</f>
        <v>282831.55225000001</v>
      </c>
      <c r="E6" s="14" t="s">
        <v>189</v>
      </c>
    </row>
    <row r="7" spans="1:5" ht="25.75" customHeight="1" thickBot="1">
      <c r="A7" s="15">
        <v>3</v>
      </c>
      <c r="B7" s="46" t="s">
        <v>190</v>
      </c>
      <c r="C7" s="14" t="s">
        <v>191</v>
      </c>
      <c r="D7" s="68">
        <f>(D5+D6)*C14</f>
        <v>43077.421034999999</v>
      </c>
      <c r="E7" s="14" t="s">
        <v>192</v>
      </c>
    </row>
    <row r="8" spans="1:5" ht="24" customHeight="1" thickBot="1">
      <c r="A8" s="15">
        <v>4</v>
      </c>
      <c r="B8" s="46" t="s">
        <v>193</v>
      </c>
      <c r="C8" s="14" t="s">
        <v>194</v>
      </c>
      <c r="D8" s="68">
        <f>D5+D6+D7</f>
        <v>761034.43828500004</v>
      </c>
      <c r="E8" s="14" t="s">
        <v>195</v>
      </c>
    </row>
    <row r="9" spans="1:5" ht="21.5" thickBot="1">
      <c r="A9" s="15"/>
      <c r="B9" s="47" t="s">
        <v>196</v>
      </c>
      <c r="C9" s="14" t="s">
        <v>195</v>
      </c>
      <c r="D9" s="68">
        <v>761034.43830000004</v>
      </c>
      <c r="E9" s="14"/>
    </row>
    <row r="11" spans="1:5" ht="15" thickBot="1"/>
    <row r="12" spans="1:5" ht="17.5">
      <c r="A12" s="59" t="s">
        <v>4</v>
      </c>
      <c r="B12" s="59" t="s">
        <v>187</v>
      </c>
      <c r="C12" s="48" t="s">
        <v>197</v>
      </c>
    </row>
    <row r="13" spans="1:5" ht="18" thickBot="1">
      <c r="A13" s="60"/>
      <c r="B13" s="60"/>
      <c r="C13" s="25" t="s">
        <v>198</v>
      </c>
    </row>
    <row r="14" spans="1:5" ht="18.5" thickBot="1">
      <c r="A14" s="49">
        <v>1</v>
      </c>
      <c r="B14" s="50">
        <v>0.65</v>
      </c>
      <c r="C14" s="51">
        <v>0.06</v>
      </c>
    </row>
  </sheetData>
  <mergeCells count="4">
    <mergeCell ref="A1:E1"/>
    <mergeCell ref="A2:E2"/>
    <mergeCell ref="A12:A13"/>
    <mergeCell ref="B12:B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8</vt:i4>
      </vt:variant>
    </vt:vector>
  </HeadingPairs>
  <TitlesOfParts>
    <vt:vector size="19" baseType="lpstr">
      <vt:lpstr>info</vt:lpstr>
      <vt:lpstr>step 2</vt:lpstr>
      <vt:lpstr>step 3</vt:lpstr>
      <vt:lpstr>step 4</vt:lpstr>
      <vt:lpstr>step 5</vt:lpstr>
      <vt:lpstr>step 6</vt:lpstr>
      <vt:lpstr>step 7</vt:lpstr>
      <vt:lpstr>step 8</vt:lpstr>
      <vt:lpstr>step 9</vt:lpstr>
      <vt:lpstr>step 10</vt:lpstr>
      <vt:lpstr>step 11</vt:lpstr>
      <vt:lpstr>'step 2'!_Toc269827541</vt:lpstr>
      <vt:lpstr>'step 3'!_Toc269827543</vt:lpstr>
      <vt:lpstr>'step 4'!_Toc269827545</vt:lpstr>
      <vt:lpstr>'step 5'!_Toc269827547</vt:lpstr>
      <vt:lpstr>'step 6'!_Toc269827549</vt:lpstr>
      <vt:lpstr>'step 7'!_Toc269827551</vt:lpstr>
      <vt:lpstr>'step 8'!_Toc269827553</vt:lpstr>
      <vt:lpstr>'step 10'!_Toc269827555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Thai Truong Minh</dc:creator>
  <cp:lastModifiedBy>andreas panayiotou</cp:lastModifiedBy>
  <dcterms:created xsi:type="dcterms:W3CDTF">2023-02-17T00:22:51Z</dcterms:created>
  <dcterms:modified xsi:type="dcterms:W3CDTF">2026-01-22T17:34:55Z</dcterms:modified>
</cp:coreProperties>
</file>